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rineharvest1-my.sharepoint.com/personal/panya_sae-lim_mowi_com/Documents/internal_investigation/CMSScottish/"/>
    </mc:Choice>
  </mc:AlternateContent>
  <xr:revisionPtr revIDLastSave="3" documentId="8_{E19E847E-A26D-4C09-9D8C-D1AB4A8B04B7}" xr6:coauthVersionLast="47" xr6:coauthVersionMax="47" xr10:uidLastSave="{FBE5FBBA-ACD4-4D10-80C8-4E2E1A304AD5}"/>
  <bookViews>
    <workbookView xWindow="-25320" yWindow="390" windowWidth="25440" windowHeight="15390" xr2:uid="{00000000-000D-0000-FFFF-FFFF00000000}"/>
  </bookViews>
  <sheets>
    <sheet name="Scotland samples" sheetId="2" r:id="rId1"/>
  </sheets>
  <definedNames>
    <definedName name="_xlnm._FilterDatabase" localSheetId="0" hidden="1">'Scotland samples'!$A$2:$R$2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3" i="2" l="1"/>
  <c r="Q403" i="2"/>
  <c r="T403" i="2"/>
  <c r="P404" i="2"/>
  <c r="Q404" i="2"/>
  <c r="T404" i="2"/>
  <c r="P405" i="2"/>
  <c r="Q405" i="2"/>
  <c r="T405" i="2"/>
  <c r="P406" i="2"/>
  <c r="Q406" i="2"/>
  <c r="T406" i="2" s="1"/>
  <c r="P407" i="2"/>
  <c r="Q407" i="2"/>
  <c r="T407" i="2"/>
  <c r="P408" i="2"/>
  <c r="Q408" i="2"/>
  <c r="T408" i="2"/>
  <c r="P409" i="2"/>
  <c r="Q409" i="2"/>
  <c r="T409" i="2" s="1"/>
  <c r="P410" i="2"/>
  <c r="Q410" i="2"/>
  <c r="T410" i="2" s="1"/>
  <c r="P411" i="2"/>
  <c r="Q411" i="2"/>
  <c r="T411" i="2"/>
  <c r="P412" i="2"/>
  <c r="Q412" i="2"/>
  <c r="T412" i="2"/>
  <c r="P413" i="2"/>
  <c r="Q413" i="2"/>
  <c r="T413" i="2"/>
  <c r="P414" i="2"/>
  <c r="Q414" i="2"/>
  <c r="T414" i="2" s="1"/>
  <c r="P415" i="2"/>
  <c r="Q415" i="2"/>
  <c r="T415" i="2"/>
  <c r="P416" i="2"/>
  <c r="Q416" i="2"/>
  <c r="T416" i="2"/>
  <c r="P417" i="2"/>
  <c r="Q417" i="2"/>
  <c r="T417" i="2" s="1"/>
  <c r="P418" i="2"/>
  <c r="Q418" i="2"/>
  <c r="T418" i="2" s="1"/>
  <c r="P419" i="2"/>
  <c r="Q419" i="2"/>
  <c r="T419" i="2"/>
  <c r="P420" i="2"/>
  <c r="Q420" i="2"/>
  <c r="T420" i="2"/>
  <c r="P421" i="2"/>
  <c r="Q421" i="2"/>
  <c r="T421" i="2"/>
  <c r="P422" i="2"/>
  <c r="Q422" i="2"/>
  <c r="T422" i="2" s="1"/>
  <c r="P423" i="2"/>
  <c r="Q423" i="2"/>
  <c r="T423" i="2"/>
  <c r="P424" i="2"/>
  <c r="Q424" i="2"/>
  <c r="T424" i="2"/>
  <c r="P425" i="2"/>
  <c r="Q425" i="2"/>
  <c r="T425" i="2" s="1"/>
  <c r="P426" i="2"/>
  <c r="Q426" i="2"/>
  <c r="T426" i="2" s="1"/>
  <c r="P427" i="2"/>
  <c r="Q427" i="2"/>
  <c r="T427" i="2"/>
  <c r="P428" i="2"/>
  <c r="Q428" i="2"/>
  <c r="T428" i="2"/>
  <c r="P429" i="2"/>
  <c r="Q429" i="2"/>
  <c r="T429" i="2"/>
  <c r="P430" i="2"/>
  <c r="Q430" i="2"/>
  <c r="T430" i="2" s="1"/>
  <c r="P431" i="2"/>
  <c r="Q431" i="2"/>
  <c r="T431" i="2"/>
  <c r="P432" i="2"/>
  <c r="Q432" i="2"/>
  <c r="T432" i="2"/>
  <c r="P433" i="2"/>
  <c r="Q433" i="2"/>
  <c r="T433" i="2" s="1"/>
  <c r="P434" i="2"/>
  <c r="Q434" i="2"/>
  <c r="T434" i="2" s="1"/>
  <c r="P435" i="2"/>
  <c r="Q435" i="2"/>
  <c r="T435" i="2"/>
  <c r="P436" i="2"/>
  <c r="Q436" i="2"/>
  <c r="T436" i="2"/>
  <c r="P437" i="2"/>
  <c r="Q437" i="2"/>
  <c r="T437" i="2"/>
  <c r="P438" i="2"/>
  <c r="Q438" i="2"/>
  <c r="T438" i="2" s="1"/>
  <c r="P439" i="2"/>
  <c r="Q439" i="2"/>
  <c r="T439" i="2"/>
  <c r="P440" i="2"/>
  <c r="Q440" i="2"/>
  <c r="T440" i="2"/>
  <c r="P441" i="2"/>
  <c r="Q441" i="2"/>
  <c r="T441" i="2"/>
  <c r="P442" i="2"/>
  <c r="Q442" i="2"/>
  <c r="T442" i="2" s="1"/>
  <c r="P443" i="2"/>
  <c r="Q443" i="2"/>
  <c r="T443" i="2"/>
  <c r="P444" i="2"/>
  <c r="Q444" i="2"/>
  <c r="T444" i="2"/>
  <c r="P445" i="2"/>
  <c r="Q445" i="2"/>
  <c r="T445" i="2"/>
  <c r="P446" i="2"/>
  <c r="Q446" i="2"/>
  <c r="T446" i="2" s="1"/>
  <c r="P447" i="2"/>
  <c r="Q447" i="2"/>
  <c r="T447" i="2"/>
  <c r="P448" i="2"/>
  <c r="Q448" i="2"/>
  <c r="T448" i="2"/>
  <c r="P449" i="2"/>
  <c r="Q449" i="2"/>
  <c r="T449" i="2"/>
  <c r="P450" i="2"/>
  <c r="Q450" i="2"/>
  <c r="T450" i="2" s="1"/>
  <c r="P451" i="2"/>
  <c r="Q451" i="2"/>
  <c r="T451" i="2"/>
  <c r="P452" i="2"/>
  <c r="Q452" i="2"/>
  <c r="T452" i="2"/>
  <c r="P453" i="2"/>
  <c r="Q453" i="2"/>
  <c r="T453" i="2"/>
  <c r="P454" i="2"/>
  <c r="Q454" i="2"/>
  <c r="T454" i="2" s="1"/>
  <c r="P455" i="2"/>
  <c r="Q455" i="2"/>
  <c r="T455" i="2"/>
  <c r="P456" i="2"/>
  <c r="Q456" i="2"/>
  <c r="T456" i="2"/>
  <c r="P457" i="2"/>
  <c r="Q457" i="2"/>
  <c r="T457" i="2"/>
  <c r="P458" i="2"/>
  <c r="Q458" i="2"/>
  <c r="T458" i="2" s="1"/>
  <c r="P459" i="2"/>
  <c r="Q459" i="2"/>
  <c r="T459" i="2"/>
  <c r="P460" i="2"/>
  <c r="Q460" i="2"/>
  <c r="T460" i="2"/>
  <c r="P461" i="2"/>
  <c r="Q461" i="2"/>
  <c r="T461" i="2"/>
  <c r="P462" i="2"/>
  <c r="Q462" i="2"/>
  <c r="T462" i="2" s="1"/>
  <c r="P463" i="2"/>
  <c r="Q463" i="2"/>
  <c r="T463" i="2"/>
  <c r="P464" i="2"/>
  <c r="Q464" i="2"/>
  <c r="T464" i="2"/>
  <c r="P465" i="2"/>
  <c r="Q465" i="2"/>
  <c r="T465" i="2"/>
  <c r="P466" i="2"/>
  <c r="Q466" i="2"/>
  <c r="T466" i="2" s="1"/>
  <c r="P467" i="2"/>
  <c r="Q467" i="2"/>
  <c r="T467" i="2"/>
  <c r="P468" i="2"/>
  <c r="Q468" i="2"/>
  <c r="T468" i="2"/>
  <c r="P469" i="2"/>
  <c r="Q469" i="2"/>
  <c r="T469" i="2"/>
  <c r="P470" i="2"/>
  <c r="Q470" i="2"/>
  <c r="T470" i="2" s="1"/>
  <c r="P471" i="2"/>
  <c r="Q471" i="2"/>
  <c r="T471" i="2"/>
  <c r="P472" i="2"/>
  <c r="Q472" i="2"/>
  <c r="T472" i="2"/>
  <c r="P473" i="2"/>
  <c r="Q473" i="2"/>
  <c r="T473" i="2"/>
  <c r="P474" i="2"/>
  <c r="Q474" i="2"/>
  <c r="T474" i="2" s="1"/>
  <c r="P475" i="2"/>
  <c r="Q475" i="2"/>
  <c r="T475" i="2"/>
  <c r="P476" i="2"/>
  <c r="Q476" i="2"/>
  <c r="T476" i="2"/>
  <c r="P477" i="2"/>
  <c r="Q477" i="2"/>
  <c r="T477" i="2"/>
  <c r="P478" i="2"/>
  <c r="Q478" i="2"/>
  <c r="T478" i="2" s="1"/>
  <c r="P479" i="2"/>
  <c r="Q479" i="2"/>
  <c r="T479" i="2"/>
  <c r="P480" i="2"/>
  <c r="Q480" i="2"/>
  <c r="T480" i="2"/>
  <c r="P481" i="2"/>
  <c r="Q481" i="2"/>
  <c r="T481" i="2"/>
  <c r="P482" i="2"/>
  <c r="Q482" i="2"/>
  <c r="T482" i="2" s="1"/>
  <c r="P483" i="2"/>
  <c r="Q483" i="2"/>
  <c r="T483" i="2"/>
  <c r="P484" i="2"/>
  <c r="Q484" i="2"/>
  <c r="T484" i="2"/>
  <c r="P485" i="2"/>
  <c r="Q485" i="2"/>
  <c r="T485" i="2"/>
  <c r="P486" i="2"/>
  <c r="Q486" i="2"/>
  <c r="T486" i="2" s="1"/>
  <c r="P487" i="2"/>
  <c r="Q487" i="2"/>
  <c r="T487" i="2"/>
  <c r="P488" i="2"/>
  <c r="Q488" i="2"/>
  <c r="T488" i="2"/>
  <c r="P489" i="2"/>
  <c r="Q489" i="2"/>
  <c r="T489" i="2"/>
  <c r="P490" i="2"/>
  <c r="Q490" i="2"/>
  <c r="T490" i="2" s="1"/>
  <c r="P491" i="2"/>
  <c r="Q491" i="2"/>
  <c r="T491" i="2"/>
  <c r="P492" i="2"/>
  <c r="Q492" i="2"/>
  <c r="T492" i="2"/>
  <c r="P493" i="2"/>
  <c r="Q493" i="2"/>
  <c r="T493" i="2"/>
  <c r="P494" i="2"/>
  <c r="Q494" i="2"/>
  <c r="T494" i="2" s="1"/>
  <c r="P495" i="2"/>
  <c r="Q495" i="2"/>
  <c r="T495" i="2"/>
  <c r="P496" i="2"/>
  <c r="Q496" i="2"/>
  <c r="T496" i="2"/>
  <c r="P497" i="2"/>
  <c r="Q497" i="2"/>
  <c r="T497" i="2" s="1"/>
  <c r="P498" i="2"/>
  <c r="Q498" i="2"/>
  <c r="T498" i="2" s="1"/>
  <c r="P499" i="2"/>
  <c r="Q499" i="2"/>
  <c r="T499" i="2"/>
  <c r="P500" i="2"/>
  <c r="Q500" i="2"/>
  <c r="T500" i="2"/>
  <c r="P501" i="2"/>
  <c r="Q501" i="2"/>
  <c r="T501" i="2"/>
  <c r="P502" i="2"/>
  <c r="Q502" i="2"/>
  <c r="T502" i="2" s="1"/>
  <c r="G403" i="2" l="1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P392" i="2"/>
  <c r="Q392" i="2"/>
  <c r="P393" i="2"/>
  <c r="Q393" i="2"/>
  <c r="T393" i="2" s="1"/>
  <c r="P394" i="2"/>
  <c r="Q394" i="2"/>
  <c r="P395" i="2"/>
  <c r="Q395" i="2"/>
  <c r="P396" i="2"/>
  <c r="Q396" i="2"/>
  <c r="P397" i="2"/>
  <c r="Q397" i="2"/>
  <c r="T397" i="2" s="1"/>
  <c r="P398" i="2"/>
  <c r="Q398" i="2"/>
  <c r="P399" i="2"/>
  <c r="Q399" i="2"/>
  <c r="T399" i="2" s="1"/>
  <c r="P400" i="2"/>
  <c r="Q400" i="2"/>
  <c r="P401" i="2"/>
  <c r="Q401" i="2"/>
  <c r="P402" i="2"/>
  <c r="Q402" i="2"/>
  <c r="T306" i="2"/>
  <c r="T310" i="2"/>
  <c r="T314" i="2"/>
  <c r="T318" i="2"/>
  <c r="T322" i="2"/>
  <c r="T326" i="2"/>
  <c r="T330" i="2"/>
  <c r="T334" i="2"/>
  <c r="T338" i="2"/>
  <c r="T342" i="2"/>
  <c r="T346" i="2"/>
  <c r="T350" i="2"/>
  <c r="T354" i="2"/>
  <c r="T358" i="2"/>
  <c r="T362" i="2"/>
  <c r="T366" i="2"/>
  <c r="T370" i="2"/>
  <c r="T374" i="2"/>
  <c r="T378" i="2"/>
  <c r="T382" i="2"/>
  <c r="P303" i="2"/>
  <c r="Q303" i="2"/>
  <c r="P304" i="2"/>
  <c r="Q304" i="2"/>
  <c r="P305" i="2"/>
  <c r="Q305" i="2"/>
  <c r="P306" i="2"/>
  <c r="Q306" i="2"/>
  <c r="P307" i="2"/>
  <c r="Q307" i="2"/>
  <c r="P308" i="2"/>
  <c r="Q308" i="2"/>
  <c r="P309" i="2"/>
  <c r="Q309" i="2"/>
  <c r="T309" i="2" s="1"/>
  <c r="P310" i="2"/>
  <c r="Q310" i="2"/>
  <c r="P311" i="2"/>
  <c r="Q311" i="2"/>
  <c r="P312" i="2"/>
  <c r="Q312" i="2"/>
  <c r="P313" i="2"/>
  <c r="Q313" i="2"/>
  <c r="P314" i="2"/>
  <c r="Q314" i="2"/>
  <c r="P315" i="2"/>
  <c r="Q315" i="2"/>
  <c r="P316" i="2"/>
  <c r="Q316" i="2"/>
  <c r="P317" i="2"/>
  <c r="Q317" i="2"/>
  <c r="T317" i="2" s="1"/>
  <c r="P318" i="2"/>
  <c r="Q318" i="2"/>
  <c r="P319" i="2"/>
  <c r="Q319" i="2"/>
  <c r="P320" i="2"/>
  <c r="Q320" i="2"/>
  <c r="P321" i="2"/>
  <c r="Q321" i="2"/>
  <c r="P322" i="2"/>
  <c r="Q322" i="2"/>
  <c r="P323" i="2"/>
  <c r="Q323" i="2"/>
  <c r="P324" i="2"/>
  <c r="Q324" i="2"/>
  <c r="P325" i="2"/>
  <c r="Q325" i="2"/>
  <c r="T325" i="2" s="1"/>
  <c r="P326" i="2"/>
  <c r="Q326" i="2"/>
  <c r="P327" i="2"/>
  <c r="Q327" i="2"/>
  <c r="P328" i="2"/>
  <c r="Q328" i="2"/>
  <c r="P329" i="2"/>
  <c r="Q329" i="2"/>
  <c r="P330" i="2"/>
  <c r="Q330" i="2"/>
  <c r="P331" i="2"/>
  <c r="Q331" i="2"/>
  <c r="P332" i="2"/>
  <c r="Q332" i="2"/>
  <c r="P333" i="2"/>
  <c r="Q333" i="2"/>
  <c r="T333" i="2" s="1"/>
  <c r="P334" i="2"/>
  <c r="Q334" i="2"/>
  <c r="P335" i="2"/>
  <c r="Q335" i="2"/>
  <c r="P336" i="2"/>
  <c r="Q336" i="2"/>
  <c r="P337" i="2"/>
  <c r="Q337" i="2"/>
  <c r="P338" i="2"/>
  <c r="Q338" i="2"/>
  <c r="P339" i="2"/>
  <c r="Q339" i="2"/>
  <c r="P340" i="2"/>
  <c r="Q340" i="2"/>
  <c r="P341" i="2"/>
  <c r="Q341" i="2"/>
  <c r="T341" i="2" s="1"/>
  <c r="P342" i="2"/>
  <c r="Q342" i="2"/>
  <c r="P343" i="2"/>
  <c r="Q343" i="2"/>
  <c r="P344" i="2"/>
  <c r="Q344" i="2"/>
  <c r="P345" i="2"/>
  <c r="Q345" i="2"/>
  <c r="P346" i="2"/>
  <c r="Q346" i="2"/>
  <c r="P347" i="2"/>
  <c r="Q347" i="2"/>
  <c r="P348" i="2"/>
  <c r="Q348" i="2"/>
  <c r="P349" i="2"/>
  <c r="Q349" i="2"/>
  <c r="T349" i="2" s="1"/>
  <c r="P350" i="2"/>
  <c r="Q350" i="2"/>
  <c r="P351" i="2"/>
  <c r="Q351" i="2"/>
  <c r="P352" i="2"/>
  <c r="Q352" i="2"/>
  <c r="P353" i="2"/>
  <c r="Q353" i="2"/>
  <c r="P354" i="2"/>
  <c r="Q354" i="2"/>
  <c r="P355" i="2"/>
  <c r="Q355" i="2"/>
  <c r="P356" i="2"/>
  <c r="Q356" i="2"/>
  <c r="P357" i="2"/>
  <c r="Q357" i="2"/>
  <c r="T357" i="2" s="1"/>
  <c r="P358" i="2"/>
  <c r="Q358" i="2"/>
  <c r="P359" i="2"/>
  <c r="Q359" i="2"/>
  <c r="P360" i="2"/>
  <c r="Q360" i="2"/>
  <c r="P361" i="2"/>
  <c r="Q361" i="2"/>
  <c r="P362" i="2"/>
  <c r="Q362" i="2"/>
  <c r="P363" i="2"/>
  <c r="Q363" i="2"/>
  <c r="P364" i="2"/>
  <c r="Q364" i="2"/>
  <c r="P365" i="2"/>
  <c r="Q365" i="2"/>
  <c r="T365" i="2" s="1"/>
  <c r="P366" i="2"/>
  <c r="Q366" i="2"/>
  <c r="P367" i="2"/>
  <c r="Q367" i="2"/>
  <c r="P368" i="2"/>
  <c r="Q368" i="2"/>
  <c r="P369" i="2"/>
  <c r="Q369" i="2"/>
  <c r="P370" i="2"/>
  <c r="Q370" i="2"/>
  <c r="P371" i="2"/>
  <c r="Q371" i="2"/>
  <c r="P372" i="2"/>
  <c r="Q372" i="2"/>
  <c r="P373" i="2"/>
  <c r="Q373" i="2"/>
  <c r="T373" i="2" s="1"/>
  <c r="P374" i="2"/>
  <c r="Q374" i="2"/>
  <c r="P375" i="2"/>
  <c r="Q375" i="2"/>
  <c r="P376" i="2"/>
  <c r="Q376" i="2"/>
  <c r="P377" i="2"/>
  <c r="Q377" i="2"/>
  <c r="T377" i="2" s="1"/>
  <c r="P378" i="2"/>
  <c r="Q378" i="2"/>
  <c r="P379" i="2"/>
  <c r="Q379" i="2"/>
  <c r="P380" i="2"/>
  <c r="Q380" i="2"/>
  <c r="P381" i="2"/>
  <c r="Q381" i="2"/>
  <c r="P382" i="2"/>
  <c r="Q382" i="2"/>
  <c r="P383" i="2"/>
  <c r="Q383" i="2"/>
  <c r="P384" i="2"/>
  <c r="Q384" i="2"/>
  <c r="P385" i="2"/>
  <c r="Q385" i="2"/>
  <c r="T385" i="2" s="1"/>
  <c r="P386" i="2"/>
  <c r="Q386" i="2"/>
  <c r="P387" i="2"/>
  <c r="Q387" i="2"/>
  <c r="P388" i="2"/>
  <c r="Q388" i="2"/>
  <c r="T388" i="2" s="1"/>
  <c r="P389" i="2"/>
  <c r="Q389" i="2"/>
  <c r="T389" i="2" s="1"/>
  <c r="P390" i="2"/>
  <c r="Q390" i="2"/>
  <c r="P391" i="2"/>
  <c r="Q391" i="2"/>
  <c r="G303" i="2"/>
  <c r="H303" i="2"/>
  <c r="T303" i="2" s="1"/>
  <c r="G304" i="2"/>
  <c r="H304" i="2"/>
  <c r="T304" i="2" s="1"/>
  <c r="G305" i="2"/>
  <c r="H305" i="2"/>
  <c r="T305" i="2" s="1"/>
  <c r="G306" i="2"/>
  <c r="H306" i="2"/>
  <c r="G307" i="2"/>
  <c r="H307" i="2"/>
  <c r="T307" i="2" s="1"/>
  <c r="G308" i="2"/>
  <c r="H308" i="2"/>
  <c r="T308" i="2" s="1"/>
  <c r="G309" i="2"/>
  <c r="H309" i="2"/>
  <c r="G310" i="2"/>
  <c r="H310" i="2"/>
  <c r="G311" i="2"/>
  <c r="H311" i="2"/>
  <c r="T311" i="2" s="1"/>
  <c r="G312" i="2"/>
  <c r="H312" i="2"/>
  <c r="T312" i="2" s="1"/>
  <c r="G313" i="2"/>
  <c r="H313" i="2"/>
  <c r="T313" i="2" s="1"/>
  <c r="G314" i="2"/>
  <c r="H314" i="2"/>
  <c r="G315" i="2"/>
  <c r="H315" i="2"/>
  <c r="T315" i="2" s="1"/>
  <c r="G316" i="2"/>
  <c r="H316" i="2"/>
  <c r="T316" i="2" s="1"/>
  <c r="G317" i="2"/>
  <c r="H317" i="2"/>
  <c r="G318" i="2"/>
  <c r="H318" i="2"/>
  <c r="G319" i="2"/>
  <c r="H319" i="2"/>
  <c r="T319" i="2" s="1"/>
  <c r="G320" i="2"/>
  <c r="H320" i="2"/>
  <c r="T320" i="2" s="1"/>
  <c r="G321" i="2"/>
  <c r="H321" i="2"/>
  <c r="T321" i="2" s="1"/>
  <c r="G322" i="2"/>
  <c r="H322" i="2"/>
  <c r="G323" i="2"/>
  <c r="H323" i="2"/>
  <c r="T323" i="2" s="1"/>
  <c r="G324" i="2"/>
  <c r="H324" i="2"/>
  <c r="T324" i="2" s="1"/>
  <c r="G325" i="2"/>
  <c r="H325" i="2"/>
  <c r="G326" i="2"/>
  <c r="H326" i="2"/>
  <c r="G327" i="2"/>
  <c r="H327" i="2"/>
  <c r="T327" i="2" s="1"/>
  <c r="G328" i="2"/>
  <c r="H328" i="2"/>
  <c r="T328" i="2" s="1"/>
  <c r="G329" i="2"/>
  <c r="H329" i="2"/>
  <c r="T329" i="2" s="1"/>
  <c r="G330" i="2"/>
  <c r="H330" i="2"/>
  <c r="G331" i="2"/>
  <c r="H331" i="2"/>
  <c r="T331" i="2" s="1"/>
  <c r="G332" i="2"/>
  <c r="H332" i="2"/>
  <c r="T332" i="2" s="1"/>
  <c r="G333" i="2"/>
  <c r="H333" i="2"/>
  <c r="G334" i="2"/>
  <c r="H334" i="2"/>
  <c r="G335" i="2"/>
  <c r="H335" i="2"/>
  <c r="T335" i="2" s="1"/>
  <c r="G336" i="2"/>
  <c r="H336" i="2"/>
  <c r="T336" i="2" s="1"/>
  <c r="G337" i="2"/>
  <c r="H337" i="2"/>
  <c r="T337" i="2" s="1"/>
  <c r="G338" i="2"/>
  <c r="H338" i="2"/>
  <c r="G339" i="2"/>
  <c r="H339" i="2"/>
  <c r="T339" i="2" s="1"/>
  <c r="G340" i="2"/>
  <c r="H340" i="2"/>
  <c r="T340" i="2" s="1"/>
  <c r="G341" i="2"/>
  <c r="H341" i="2"/>
  <c r="G342" i="2"/>
  <c r="H342" i="2"/>
  <c r="G343" i="2"/>
  <c r="H343" i="2"/>
  <c r="T343" i="2" s="1"/>
  <c r="G344" i="2"/>
  <c r="H344" i="2"/>
  <c r="T344" i="2" s="1"/>
  <c r="G345" i="2"/>
  <c r="H345" i="2"/>
  <c r="T345" i="2" s="1"/>
  <c r="G346" i="2"/>
  <c r="H346" i="2"/>
  <c r="G347" i="2"/>
  <c r="H347" i="2"/>
  <c r="T347" i="2" s="1"/>
  <c r="G348" i="2"/>
  <c r="H348" i="2"/>
  <c r="T348" i="2" s="1"/>
  <c r="G349" i="2"/>
  <c r="H349" i="2"/>
  <c r="G350" i="2"/>
  <c r="H350" i="2"/>
  <c r="G351" i="2"/>
  <c r="H351" i="2"/>
  <c r="T351" i="2" s="1"/>
  <c r="G352" i="2"/>
  <c r="H352" i="2"/>
  <c r="T352" i="2" s="1"/>
  <c r="G353" i="2"/>
  <c r="H353" i="2"/>
  <c r="T353" i="2" s="1"/>
  <c r="G354" i="2"/>
  <c r="H354" i="2"/>
  <c r="G355" i="2"/>
  <c r="H355" i="2"/>
  <c r="T355" i="2" s="1"/>
  <c r="G356" i="2"/>
  <c r="H356" i="2"/>
  <c r="T356" i="2" s="1"/>
  <c r="G357" i="2"/>
  <c r="H357" i="2"/>
  <c r="G358" i="2"/>
  <c r="H358" i="2"/>
  <c r="G359" i="2"/>
  <c r="H359" i="2"/>
  <c r="T359" i="2" s="1"/>
  <c r="G360" i="2"/>
  <c r="H360" i="2"/>
  <c r="T360" i="2" s="1"/>
  <c r="G361" i="2"/>
  <c r="H361" i="2"/>
  <c r="T361" i="2" s="1"/>
  <c r="G362" i="2"/>
  <c r="H362" i="2"/>
  <c r="G363" i="2"/>
  <c r="H363" i="2"/>
  <c r="T363" i="2" s="1"/>
  <c r="G364" i="2"/>
  <c r="H364" i="2"/>
  <c r="T364" i="2" s="1"/>
  <c r="G365" i="2"/>
  <c r="H365" i="2"/>
  <c r="G366" i="2"/>
  <c r="H366" i="2"/>
  <c r="G367" i="2"/>
  <c r="H367" i="2"/>
  <c r="T367" i="2" s="1"/>
  <c r="G368" i="2"/>
  <c r="H368" i="2"/>
  <c r="T368" i="2" s="1"/>
  <c r="G369" i="2"/>
  <c r="H369" i="2"/>
  <c r="T369" i="2" s="1"/>
  <c r="G370" i="2"/>
  <c r="H370" i="2"/>
  <c r="G371" i="2"/>
  <c r="H371" i="2"/>
  <c r="T371" i="2" s="1"/>
  <c r="G372" i="2"/>
  <c r="H372" i="2"/>
  <c r="T372" i="2" s="1"/>
  <c r="G373" i="2"/>
  <c r="H373" i="2"/>
  <c r="G374" i="2"/>
  <c r="H374" i="2"/>
  <c r="G375" i="2"/>
  <c r="H375" i="2"/>
  <c r="T375" i="2" s="1"/>
  <c r="G376" i="2"/>
  <c r="H376" i="2"/>
  <c r="T376" i="2" s="1"/>
  <c r="G378" i="2"/>
  <c r="H378" i="2"/>
  <c r="G379" i="2"/>
  <c r="H379" i="2"/>
  <c r="T379" i="2" s="1"/>
  <c r="G380" i="2"/>
  <c r="H380" i="2"/>
  <c r="T380" i="2" s="1"/>
  <c r="G381" i="2"/>
  <c r="H381" i="2"/>
  <c r="T381" i="2" s="1"/>
  <c r="G382" i="2"/>
  <c r="H382" i="2"/>
  <c r="G383" i="2"/>
  <c r="H383" i="2"/>
  <c r="T383" i="2" s="1"/>
  <c r="G384" i="2"/>
  <c r="H384" i="2"/>
  <c r="T384" i="2" s="1"/>
  <c r="G386" i="2"/>
  <c r="H386" i="2"/>
  <c r="T386" i="2" s="1"/>
  <c r="G387" i="2"/>
  <c r="H387" i="2"/>
  <c r="T387" i="2" s="1"/>
  <c r="G388" i="2"/>
  <c r="H388" i="2"/>
  <c r="G389" i="2"/>
  <c r="H389" i="2"/>
  <c r="G390" i="2"/>
  <c r="H390" i="2"/>
  <c r="T390" i="2" s="1"/>
  <c r="G391" i="2"/>
  <c r="H391" i="2"/>
  <c r="T391" i="2" s="1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T400" i="2" s="1"/>
  <c r="G401" i="2"/>
  <c r="H401" i="2"/>
  <c r="T401" i="2" s="1"/>
  <c r="G402" i="2"/>
  <c r="H402" i="2"/>
  <c r="P203" i="2"/>
  <c r="Q203" i="2"/>
  <c r="P204" i="2"/>
  <c r="Q204" i="2"/>
  <c r="P205" i="2"/>
  <c r="Q205" i="2"/>
  <c r="P206" i="2"/>
  <c r="Q206" i="2"/>
  <c r="P207" i="2"/>
  <c r="Q207" i="2"/>
  <c r="P208" i="2"/>
  <c r="Q208" i="2"/>
  <c r="P209" i="2"/>
  <c r="Q209" i="2"/>
  <c r="P210" i="2"/>
  <c r="Q210" i="2"/>
  <c r="P211" i="2"/>
  <c r="Q211" i="2"/>
  <c r="P212" i="2"/>
  <c r="Q212" i="2"/>
  <c r="P213" i="2"/>
  <c r="Q213" i="2"/>
  <c r="P214" i="2"/>
  <c r="Q214" i="2"/>
  <c r="P215" i="2"/>
  <c r="Q215" i="2"/>
  <c r="P216" i="2"/>
  <c r="Q216" i="2"/>
  <c r="P217" i="2"/>
  <c r="Q217" i="2"/>
  <c r="P218" i="2"/>
  <c r="Q218" i="2"/>
  <c r="P219" i="2"/>
  <c r="Q219" i="2"/>
  <c r="P220" i="2"/>
  <c r="Q220" i="2"/>
  <c r="P221" i="2"/>
  <c r="Q221" i="2"/>
  <c r="P222" i="2"/>
  <c r="Q222" i="2"/>
  <c r="P223" i="2"/>
  <c r="Q223" i="2"/>
  <c r="P224" i="2"/>
  <c r="Q224" i="2"/>
  <c r="P225" i="2"/>
  <c r="Q225" i="2"/>
  <c r="P226" i="2"/>
  <c r="Q226" i="2"/>
  <c r="P227" i="2"/>
  <c r="Q227" i="2"/>
  <c r="P228" i="2"/>
  <c r="Q228" i="2"/>
  <c r="P229" i="2"/>
  <c r="Q229" i="2"/>
  <c r="P230" i="2"/>
  <c r="Q230" i="2"/>
  <c r="P231" i="2"/>
  <c r="Q231" i="2"/>
  <c r="P232" i="2"/>
  <c r="Q232" i="2"/>
  <c r="P233" i="2"/>
  <c r="Q233" i="2"/>
  <c r="P234" i="2"/>
  <c r="Q234" i="2"/>
  <c r="P235" i="2"/>
  <c r="Q235" i="2"/>
  <c r="P236" i="2"/>
  <c r="Q236" i="2"/>
  <c r="P237" i="2"/>
  <c r="Q237" i="2"/>
  <c r="P238" i="2"/>
  <c r="Q238" i="2"/>
  <c r="P239" i="2"/>
  <c r="Q239" i="2"/>
  <c r="P240" i="2"/>
  <c r="Q240" i="2"/>
  <c r="P241" i="2"/>
  <c r="Q241" i="2"/>
  <c r="P242" i="2"/>
  <c r="Q242" i="2"/>
  <c r="P243" i="2"/>
  <c r="Q243" i="2"/>
  <c r="P244" i="2"/>
  <c r="Q244" i="2"/>
  <c r="P245" i="2"/>
  <c r="Q245" i="2"/>
  <c r="P246" i="2"/>
  <c r="Q246" i="2"/>
  <c r="P247" i="2"/>
  <c r="Q247" i="2"/>
  <c r="P248" i="2"/>
  <c r="Q248" i="2"/>
  <c r="P249" i="2"/>
  <c r="Q249" i="2"/>
  <c r="P250" i="2"/>
  <c r="Q250" i="2"/>
  <c r="P251" i="2"/>
  <c r="Q251" i="2"/>
  <c r="P252" i="2"/>
  <c r="Q252" i="2"/>
  <c r="P253" i="2"/>
  <c r="Q253" i="2"/>
  <c r="P254" i="2"/>
  <c r="Q254" i="2"/>
  <c r="P255" i="2"/>
  <c r="Q255" i="2"/>
  <c r="P256" i="2"/>
  <c r="Q256" i="2"/>
  <c r="P257" i="2"/>
  <c r="Q257" i="2"/>
  <c r="P258" i="2"/>
  <c r="Q258" i="2"/>
  <c r="P259" i="2"/>
  <c r="Q259" i="2"/>
  <c r="P260" i="2"/>
  <c r="Q260" i="2"/>
  <c r="P261" i="2"/>
  <c r="Q261" i="2"/>
  <c r="P262" i="2"/>
  <c r="Q262" i="2"/>
  <c r="P263" i="2"/>
  <c r="Q263" i="2"/>
  <c r="P264" i="2"/>
  <c r="Q264" i="2"/>
  <c r="P265" i="2"/>
  <c r="Q265" i="2"/>
  <c r="P266" i="2"/>
  <c r="Q266" i="2"/>
  <c r="P267" i="2"/>
  <c r="Q267" i="2"/>
  <c r="P268" i="2"/>
  <c r="Q268" i="2"/>
  <c r="P269" i="2"/>
  <c r="Q269" i="2"/>
  <c r="P270" i="2"/>
  <c r="Q270" i="2"/>
  <c r="P271" i="2"/>
  <c r="Q271" i="2"/>
  <c r="P272" i="2"/>
  <c r="Q272" i="2"/>
  <c r="P273" i="2"/>
  <c r="Q273" i="2"/>
  <c r="P274" i="2"/>
  <c r="Q274" i="2"/>
  <c r="P275" i="2"/>
  <c r="Q275" i="2"/>
  <c r="P276" i="2"/>
  <c r="Q276" i="2"/>
  <c r="P277" i="2"/>
  <c r="Q277" i="2"/>
  <c r="P278" i="2"/>
  <c r="Q278" i="2"/>
  <c r="P279" i="2"/>
  <c r="Q279" i="2"/>
  <c r="P280" i="2"/>
  <c r="Q280" i="2"/>
  <c r="P281" i="2"/>
  <c r="Q281" i="2"/>
  <c r="P282" i="2"/>
  <c r="Q282" i="2"/>
  <c r="P283" i="2"/>
  <c r="Q283" i="2"/>
  <c r="P284" i="2"/>
  <c r="Q284" i="2"/>
  <c r="P285" i="2"/>
  <c r="Q285" i="2"/>
  <c r="P286" i="2"/>
  <c r="Q286" i="2"/>
  <c r="P287" i="2"/>
  <c r="Q287" i="2"/>
  <c r="P288" i="2"/>
  <c r="Q288" i="2"/>
  <c r="P289" i="2"/>
  <c r="Q289" i="2"/>
  <c r="P290" i="2"/>
  <c r="Q290" i="2"/>
  <c r="P291" i="2"/>
  <c r="Q291" i="2"/>
  <c r="P292" i="2"/>
  <c r="Q292" i="2"/>
  <c r="P293" i="2"/>
  <c r="Q293" i="2"/>
  <c r="P294" i="2"/>
  <c r="Q294" i="2"/>
  <c r="P295" i="2"/>
  <c r="Q295" i="2"/>
  <c r="P296" i="2"/>
  <c r="Q296" i="2"/>
  <c r="P297" i="2"/>
  <c r="Q297" i="2"/>
  <c r="P298" i="2"/>
  <c r="Q298" i="2"/>
  <c r="P299" i="2"/>
  <c r="Q299" i="2"/>
  <c r="P300" i="2"/>
  <c r="Q300" i="2"/>
  <c r="P301" i="2"/>
  <c r="Q301" i="2"/>
  <c r="P302" i="2"/>
  <c r="Q302" i="2"/>
  <c r="T396" i="2" l="1"/>
  <c r="T392" i="2"/>
  <c r="T402" i="2"/>
  <c r="T395" i="2"/>
  <c r="T398" i="2"/>
  <c r="T394" i="2"/>
  <c r="G203" i="2"/>
  <c r="H203" i="2"/>
  <c r="T203" i="2" s="1"/>
  <c r="G204" i="2"/>
  <c r="H204" i="2"/>
  <c r="T204" i="2" s="1"/>
  <c r="G205" i="2"/>
  <c r="H205" i="2"/>
  <c r="T205" i="2" s="1"/>
  <c r="G206" i="2"/>
  <c r="H206" i="2"/>
  <c r="T206" i="2" s="1"/>
  <c r="G207" i="2"/>
  <c r="H207" i="2"/>
  <c r="T207" i="2" s="1"/>
  <c r="G208" i="2"/>
  <c r="H208" i="2"/>
  <c r="T208" i="2" s="1"/>
  <c r="G209" i="2"/>
  <c r="H209" i="2"/>
  <c r="T209" i="2" s="1"/>
  <c r="G210" i="2"/>
  <c r="H210" i="2"/>
  <c r="T210" i="2" s="1"/>
  <c r="G211" i="2"/>
  <c r="H211" i="2"/>
  <c r="T211" i="2" s="1"/>
  <c r="G212" i="2"/>
  <c r="H212" i="2"/>
  <c r="T212" i="2" s="1"/>
  <c r="G213" i="2"/>
  <c r="H213" i="2"/>
  <c r="T213" i="2" s="1"/>
  <c r="G214" i="2"/>
  <c r="H214" i="2"/>
  <c r="T214" i="2" s="1"/>
  <c r="G215" i="2"/>
  <c r="H215" i="2"/>
  <c r="T215" i="2" s="1"/>
  <c r="G216" i="2"/>
  <c r="H216" i="2"/>
  <c r="T216" i="2" s="1"/>
  <c r="G217" i="2"/>
  <c r="H217" i="2"/>
  <c r="T217" i="2" s="1"/>
  <c r="G218" i="2"/>
  <c r="H218" i="2"/>
  <c r="T218" i="2" s="1"/>
  <c r="G219" i="2"/>
  <c r="H219" i="2"/>
  <c r="T219" i="2" s="1"/>
  <c r="G220" i="2"/>
  <c r="H220" i="2"/>
  <c r="T220" i="2" s="1"/>
  <c r="G221" i="2"/>
  <c r="H221" i="2"/>
  <c r="T221" i="2" s="1"/>
  <c r="G222" i="2"/>
  <c r="H222" i="2"/>
  <c r="T222" i="2" s="1"/>
  <c r="G223" i="2"/>
  <c r="H223" i="2"/>
  <c r="T223" i="2" s="1"/>
  <c r="G224" i="2"/>
  <c r="H224" i="2"/>
  <c r="T224" i="2" s="1"/>
  <c r="G225" i="2"/>
  <c r="H225" i="2"/>
  <c r="T225" i="2" s="1"/>
  <c r="G226" i="2"/>
  <c r="H226" i="2"/>
  <c r="T226" i="2" s="1"/>
  <c r="G227" i="2"/>
  <c r="H227" i="2"/>
  <c r="T227" i="2" s="1"/>
  <c r="G228" i="2"/>
  <c r="H228" i="2"/>
  <c r="T228" i="2" s="1"/>
  <c r="G229" i="2"/>
  <c r="H229" i="2"/>
  <c r="T229" i="2" s="1"/>
  <c r="G230" i="2"/>
  <c r="H230" i="2"/>
  <c r="T230" i="2" s="1"/>
  <c r="G231" i="2"/>
  <c r="H231" i="2"/>
  <c r="T231" i="2" s="1"/>
  <c r="G232" i="2"/>
  <c r="H232" i="2"/>
  <c r="T232" i="2" s="1"/>
  <c r="G233" i="2"/>
  <c r="H233" i="2"/>
  <c r="T233" i="2" s="1"/>
  <c r="G234" i="2"/>
  <c r="H234" i="2"/>
  <c r="T234" i="2" s="1"/>
  <c r="G235" i="2"/>
  <c r="H235" i="2"/>
  <c r="T235" i="2" s="1"/>
  <c r="G236" i="2"/>
  <c r="H236" i="2"/>
  <c r="T236" i="2" s="1"/>
  <c r="G237" i="2"/>
  <c r="H237" i="2"/>
  <c r="T237" i="2" s="1"/>
  <c r="G238" i="2"/>
  <c r="H238" i="2"/>
  <c r="T238" i="2" s="1"/>
  <c r="G239" i="2"/>
  <c r="H239" i="2"/>
  <c r="T239" i="2" s="1"/>
  <c r="G240" i="2"/>
  <c r="H240" i="2"/>
  <c r="T240" i="2" s="1"/>
  <c r="G241" i="2"/>
  <c r="H241" i="2"/>
  <c r="T241" i="2" s="1"/>
  <c r="G242" i="2"/>
  <c r="H242" i="2"/>
  <c r="T242" i="2" s="1"/>
  <c r="G243" i="2"/>
  <c r="H243" i="2"/>
  <c r="T243" i="2" s="1"/>
  <c r="G244" i="2"/>
  <c r="H244" i="2"/>
  <c r="T244" i="2" s="1"/>
  <c r="G245" i="2"/>
  <c r="H245" i="2"/>
  <c r="T245" i="2" s="1"/>
  <c r="G246" i="2"/>
  <c r="H246" i="2"/>
  <c r="T246" i="2" s="1"/>
  <c r="G247" i="2"/>
  <c r="H247" i="2"/>
  <c r="T247" i="2" s="1"/>
  <c r="G248" i="2"/>
  <c r="H248" i="2"/>
  <c r="T248" i="2" s="1"/>
  <c r="G249" i="2"/>
  <c r="H249" i="2"/>
  <c r="T249" i="2" s="1"/>
  <c r="G250" i="2"/>
  <c r="H250" i="2"/>
  <c r="T250" i="2" s="1"/>
  <c r="G251" i="2"/>
  <c r="H251" i="2"/>
  <c r="T251" i="2" s="1"/>
  <c r="G252" i="2"/>
  <c r="H252" i="2"/>
  <c r="T252" i="2" s="1"/>
  <c r="G253" i="2"/>
  <c r="H253" i="2"/>
  <c r="T253" i="2" s="1"/>
  <c r="G254" i="2"/>
  <c r="H254" i="2"/>
  <c r="T254" i="2" s="1"/>
  <c r="G255" i="2"/>
  <c r="H255" i="2"/>
  <c r="T255" i="2" s="1"/>
  <c r="G256" i="2"/>
  <c r="H256" i="2"/>
  <c r="T256" i="2" s="1"/>
  <c r="G257" i="2"/>
  <c r="H257" i="2"/>
  <c r="T257" i="2" s="1"/>
  <c r="G258" i="2"/>
  <c r="H258" i="2"/>
  <c r="T258" i="2" s="1"/>
  <c r="G259" i="2"/>
  <c r="H259" i="2"/>
  <c r="T259" i="2" s="1"/>
  <c r="G260" i="2"/>
  <c r="H260" i="2"/>
  <c r="T260" i="2" s="1"/>
  <c r="G261" i="2"/>
  <c r="H261" i="2"/>
  <c r="T261" i="2" s="1"/>
  <c r="G262" i="2"/>
  <c r="H262" i="2"/>
  <c r="T262" i="2" s="1"/>
  <c r="G263" i="2"/>
  <c r="H263" i="2"/>
  <c r="T263" i="2" s="1"/>
  <c r="G264" i="2"/>
  <c r="H264" i="2"/>
  <c r="T264" i="2" s="1"/>
  <c r="G265" i="2"/>
  <c r="H265" i="2"/>
  <c r="T265" i="2" s="1"/>
  <c r="G266" i="2"/>
  <c r="H266" i="2"/>
  <c r="T266" i="2" s="1"/>
  <c r="G267" i="2"/>
  <c r="H267" i="2"/>
  <c r="T267" i="2" s="1"/>
  <c r="G268" i="2"/>
  <c r="H268" i="2"/>
  <c r="T268" i="2" s="1"/>
  <c r="G269" i="2"/>
  <c r="H269" i="2"/>
  <c r="T269" i="2" s="1"/>
  <c r="G270" i="2"/>
  <c r="H270" i="2"/>
  <c r="T270" i="2" s="1"/>
  <c r="G271" i="2"/>
  <c r="H271" i="2"/>
  <c r="T271" i="2" s="1"/>
  <c r="G272" i="2"/>
  <c r="H272" i="2"/>
  <c r="T272" i="2" s="1"/>
  <c r="G273" i="2"/>
  <c r="H273" i="2"/>
  <c r="T273" i="2" s="1"/>
  <c r="G274" i="2"/>
  <c r="H274" i="2"/>
  <c r="T274" i="2" s="1"/>
  <c r="G275" i="2"/>
  <c r="H275" i="2"/>
  <c r="T275" i="2" s="1"/>
  <c r="G276" i="2"/>
  <c r="H276" i="2"/>
  <c r="T276" i="2" s="1"/>
  <c r="G277" i="2"/>
  <c r="H277" i="2"/>
  <c r="T277" i="2" s="1"/>
  <c r="G278" i="2"/>
  <c r="H278" i="2"/>
  <c r="T278" i="2" s="1"/>
  <c r="G279" i="2"/>
  <c r="H279" i="2"/>
  <c r="T279" i="2" s="1"/>
  <c r="G280" i="2"/>
  <c r="H280" i="2"/>
  <c r="T280" i="2" s="1"/>
  <c r="G281" i="2"/>
  <c r="H281" i="2"/>
  <c r="T281" i="2" s="1"/>
  <c r="G282" i="2"/>
  <c r="H282" i="2"/>
  <c r="T282" i="2" s="1"/>
  <c r="G283" i="2"/>
  <c r="H283" i="2"/>
  <c r="T283" i="2" s="1"/>
  <c r="G284" i="2"/>
  <c r="H284" i="2"/>
  <c r="T284" i="2" s="1"/>
  <c r="G285" i="2"/>
  <c r="H285" i="2"/>
  <c r="T285" i="2" s="1"/>
  <c r="G286" i="2"/>
  <c r="H286" i="2"/>
  <c r="T286" i="2" s="1"/>
  <c r="G287" i="2"/>
  <c r="H287" i="2"/>
  <c r="T287" i="2" s="1"/>
  <c r="G288" i="2"/>
  <c r="H288" i="2"/>
  <c r="T288" i="2" s="1"/>
  <c r="G289" i="2"/>
  <c r="H289" i="2"/>
  <c r="T289" i="2" s="1"/>
  <c r="G290" i="2"/>
  <c r="H290" i="2"/>
  <c r="T290" i="2" s="1"/>
  <c r="G291" i="2"/>
  <c r="H291" i="2"/>
  <c r="T291" i="2" s="1"/>
  <c r="G292" i="2"/>
  <c r="H292" i="2"/>
  <c r="T292" i="2" s="1"/>
  <c r="G293" i="2"/>
  <c r="H293" i="2"/>
  <c r="T293" i="2" s="1"/>
  <c r="G294" i="2"/>
  <c r="H294" i="2"/>
  <c r="T294" i="2" s="1"/>
  <c r="G295" i="2"/>
  <c r="H295" i="2"/>
  <c r="T295" i="2" s="1"/>
  <c r="G296" i="2"/>
  <c r="H296" i="2"/>
  <c r="T296" i="2" s="1"/>
  <c r="G297" i="2"/>
  <c r="H297" i="2"/>
  <c r="T297" i="2" s="1"/>
  <c r="G298" i="2"/>
  <c r="H298" i="2"/>
  <c r="T298" i="2" s="1"/>
  <c r="G299" i="2"/>
  <c r="H299" i="2"/>
  <c r="T299" i="2" s="1"/>
  <c r="G300" i="2"/>
  <c r="H300" i="2"/>
  <c r="T300" i="2" s="1"/>
  <c r="G301" i="2"/>
  <c r="H301" i="2"/>
  <c r="T301" i="2" s="1"/>
  <c r="G302" i="2"/>
  <c r="H302" i="2"/>
  <c r="T302" i="2" s="1"/>
  <c r="P103" i="2"/>
  <c r="Q103" i="2"/>
  <c r="P104" i="2"/>
  <c r="Q104" i="2"/>
  <c r="P105" i="2"/>
  <c r="Q105" i="2"/>
  <c r="P106" i="2"/>
  <c r="Q106" i="2"/>
  <c r="T106" i="2"/>
  <c r="P107" i="2"/>
  <c r="Q107" i="2"/>
  <c r="P108" i="2"/>
  <c r="Q108" i="2"/>
  <c r="T108" i="2" s="1"/>
  <c r="P109" i="2"/>
  <c r="Q109" i="2"/>
  <c r="T109" i="2"/>
  <c r="P110" i="2"/>
  <c r="Q110" i="2"/>
  <c r="T110" i="2" s="1"/>
  <c r="P111" i="2"/>
  <c r="Q111" i="2"/>
  <c r="P112" i="2"/>
  <c r="Q112" i="2"/>
  <c r="P113" i="2"/>
  <c r="Q113" i="2"/>
  <c r="T113" i="2" s="1"/>
  <c r="P114" i="2"/>
  <c r="Q114" i="2"/>
  <c r="P115" i="2"/>
  <c r="Q115" i="2"/>
  <c r="P116" i="2"/>
  <c r="Q116" i="2"/>
  <c r="T116" i="2"/>
  <c r="P117" i="2"/>
  <c r="Q117" i="2"/>
  <c r="P118" i="2"/>
  <c r="Q118" i="2"/>
  <c r="P119" i="2"/>
  <c r="Q119" i="2"/>
  <c r="P120" i="2"/>
  <c r="Q120" i="2"/>
  <c r="P121" i="2"/>
  <c r="Q121" i="2"/>
  <c r="P122" i="2"/>
  <c r="Q122" i="2"/>
  <c r="P123" i="2"/>
  <c r="Q123" i="2"/>
  <c r="T123" i="2" s="1"/>
  <c r="P124" i="2"/>
  <c r="Q124" i="2"/>
  <c r="P125" i="2"/>
  <c r="Q125" i="2"/>
  <c r="P126" i="2"/>
  <c r="Q126" i="2"/>
  <c r="T126" i="2" s="1"/>
  <c r="P127" i="2"/>
  <c r="Q127" i="2"/>
  <c r="P128" i="2"/>
  <c r="Q128" i="2"/>
  <c r="P129" i="2"/>
  <c r="Q129" i="2"/>
  <c r="T129" i="2" s="1"/>
  <c r="P130" i="2"/>
  <c r="Q130" i="2"/>
  <c r="P131" i="2"/>
  <c r="Q131" i="2"/>
  <c r="T131" i="2" s="1"/>
  <c r="P132" i="2"/>
  <c r="Q132" i="2"/>
  <c r="P133" i="2"/>
  <c r="Q133" i="2"/>
  <c r="P134" i="2"/>
  <c r="Q134" i="2"/>
  <c r="P135" i="2"/>
  <c r="Q135" i="2"/>
  <c r="P136" i="2"/>
  <c r="Q136" i="2"/>
  <c r="T136" i="2"/>
  <c r="P137" i="2"/>
  <c r="Q137" i="2"/>
  <c r="P138" i="2"/>
  <c r="Q138" i="2"/>
  <c r="T138" i="2" s="1"/>
  <c r="P139" i="2"/>
  <c r="Q139" i="2"/>
  <c r="T139" i="2" s="1"/>
  <c r="P140" i="2"/>
  <c r="Q140" i="2"/>
  <c r="P141" i="2"/>
  <c r="Q141" i="2"/>
  <c r="P142" i="2"/>
  <c r="Q142" i="2"/>
  <c r="T142" i="2" s="1"/>
  <c r="P143" i="2"/>
  <c r="Q143" i="2"/>
  <c r="P144" i="2"/>
  <c r="Q144" i="2"/>
  <c r="T144" i="2"/>
  <c r="P145" i="2"/>
  <c r="Q145" i="2"/>
  <c r="P146" i="2"/>
  <c r="Q146" i="2"/>
  <c r="T146" i="2" s="1"/>
  <c r="P147" i="2"/>
  <c r="Q147" i="2"/>
  <c r="P148" i="2"/>
  <c r="Q148" i="2"/>
  <c r="P149" i="2"/>
  <c r="Q149" i="2"/>
  <c r="P150" i="2"/>
  <c r="Q150" i="2"/>
  <c r="P151" i="2"/>
  <c r="Q151" i="2"/>
  <c r="P152" i="2"/>
  <c r="Q152" i="2"/>
  <c r="T152" i="2"/>
  <c r="P153" i="2"/>
  <c r="Q153" i="2"/>
  <c r="P154" i="2"/>
  <c r="Q154" i="2"/>
  <c r="T154" i="2" s="1"/>
  <c r="P155" i="2"/>
  <c r="Q155" i="2"/>
  <c r="T155" i="2" s="1"/>
  <c r="P156" i="2"/>
  <c r="Q156" i="2"/>
  <c r="P157" i="2"/>
  <c r="Q157" i="2"/>
  <c r="P158" i="2"/>
  <c r="Q158" i="2"/>
  <c r="T158" i="2" s="1"/>
  <c r="P159" i="2"/>
  <c r="Q159" i="2"/>
  <c r="P160" i="2"/>
  <c r="Q160" i="2"/>
  <c r="T160" i="2"/>
  <c r="P161" i="2"/>
  <c r="Q161" i="2"/>
  <c r="P162" i="2"/>
  <c r="Q162" i="2"/>
  <c r="T162" i="2" s="1"/>
  <c r="P163" i="2"/>
  <c r="Q163" i="2"/>
  <c r="P164" i="2"/>
  <c r="Q164" i="2"/>
  <c r="P165" i="2"/>
  <c r="Q165" i="2"/>
  <c r="P166" i="2"/>
  <c r="Q166" i="2"/>
  <c r="P167" i="2"/>
  <c r="Q167" i="2"/>
  <c r="P168" i="2"/>
  <c r="Q168" i="2"/>
  <c r="T168" i="2" s="1"/>
  <c r="P169" i="2"/>
  <c r="Q169" i="2"/>
  <c r="P170" i="2"/>
  <c r="Q170" i="2"/>
  <c r="T170" i="2"/>
  <c r="P171" i="2"/>
  <c r="Q171" i="2"/>
  <c r="T171" i="2" s="1"/>
  <c r="P172" i="2"/>
  <c r="Q172" i="2"/>
  <c r="P173" i="2"/>
  <c r="Q173" i="2"/>
  <c r="P174" i="2"/>
  <c r="Q174" i="2"/>
  <c r="T174" i="2" s="1"/>
  <c r="P175" i="2"/>
  <c r="Q175" i="2"/>
  <c r="P176" i="2"/>
  <c r="Q176" i="2"/>
  <c r="T176" i="2"/>
  <c r="P177" i="2"/>
  <c r="Q177" i="2"/>
  <c r="P178" i="2"/>
  <c r="Q178" i="2"/>
  <c r="T178" i="2" s="1"/>
  <c r="P179" i="2"/>
  <c r="Q179" i="2"/>
  <c r="P180" i="2"/>
  <c r="Q180" i="2"/>
  <c r="P181" i="2"/>
  <c r="Q181" i="2"/>
  <c r="P182" i="2"/>
  <c r="Q182" i="2"/>
  <c r="P183" i="2"/>
  <c r="Q183" i="2"/>
  <c r="P184" i="2"/>
  <c r="Q184" i="2"/>
  <c r="T184" i="2"/>
  <c r="P185" i="2"/>
  <c r="Q185" i="2"/>
  <c r="P186" i="2"/>
  <c r="Q186" i="2"/>
  <c r="T186" i="2"/>
  <c r="P187" i="2"/>
  <c r="Q187" i="2"/>
  <c r="T187" i="2" s="1"/>
  <c r="P188" i="2"/>
  <c r="Q188" i="2"/>
  <c r="P189" i="2"/>
  <c r="Q189" i="2"/>
  <c r="P190" i="2"/>
  <c r="Q190" i="2"/>
  <c r="T190" i="2" s="1"/>
  <c r="P191" i="2"/>
  <c r="Q191" i="2"/>
  <c r="P192" i="2"/>
  <c r="Q192" i="2"/>
  <c r="T192" i="2"/>
  <c r="P193" i="2"/>
  <c r="Q193" i="2"/>
  <c r="P194" i="2"/>
  <c r="Q194" i="2"/>
  <c r="T194" i="2" s="1"/>
  <c r="P195" i="2"/>
  <c r="Q195" i="2"/>
  <c r="P196" i="2"/>
  <c r="Q196" i="2"/>
  <c r="P197" i="2"/>
  <c r="Q197" i="2"/>
  <c r="P198" i="2"/>
  <c r="Q198" i="2"/>
  <c r="T198" i="2"/>
  <c r="P199" i="2"/>
  <c r="Q199" i="2"/>
  <c r="P200" i="2"/>
  <c r="Q200" i="2"/>
  <c r="T200" i="2" s="1"/>
  <c r="P201" i="2"/>
  <c r="Q201" i="2"/>
  <c r="P202" i="2"/>
  <c r="Q202" i="2"/>
  <c r="G103" i="2"/>
  <c r="H103" i="2"/>
  <c r="T103" i="2" s="1"/>
  <c r="G104" i="2"/>
  <c r="H104" i="2"/>
  <c r="T104" i="2" s="1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T112" i="2" s="1"/>
  <c r="G113" i="2"/>
  <c r="H113" i="2"/>
  <c r="G114" i="2"/>
  <c r="H114" i="2"/>
  <c r="T114" i="2" s="1"/>
  <c r="G115" i="2"/>
  <c r="H115" i="2"/>
  <c r="G116" i="2"/>
  <c r="H116" i="2"/>
  <c r="G118" i="2"/>
  <c r="H118" i="2"/>
  <c r="G119" i="2"/>
  <c r="H119" i="2"/>
  <c r="G120" i="2"/>
  <c r="H120" i="2"/>
  <c r="T120" i="2" s="1"/>
  <c r="G121" i="2"/>
  <c r="H121" i="2"/>
  <c r="G122" i="2"/>
  <c r="H122" i="2"/>
  <c r="T122" i="2" s="1"/>
  <c r="G123" i="2"/>
  <c r="H123" i="2"/>
  <c r="G124" i="2"/>
  <c r="H124" i="2"/>
  <c r="T124" i="2" s="1"/>
  <c r="G125" i="2"/>
  <c r="H125" i="2"/>
  <c r="T125" i="2" s="1"/>
  <c r="G126" i="2"/>
  <c r="H126" i="2"/>
  <c r="G127" i="2"/>
  <c r="H127" i="2"/>
  <c r="G128" i="2"/>
  <c r="H128" i="2"/>
  <c r="T128" i="2" s="1"/>
  <c r="G129" i="2"/>
  <c r="H129" i="2"/>
  <c r="G130" i="2"/>
  <c r="H130" i="2"/>
  <c r="T130" i="2" s="1"/>
  <c r="G131" i="2"/>
  <c r="H131" i="2"/>
  <c r="G133" i="2"/>
  <c r="H133" i="2"/>
  <c r="T133" i="2" s="1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T140" i="2" s="1"/>
  <c r="G141" i="2"/>
  <c r="H141" i="2"/>
  <c r="T141" i="2" s="1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T148" i="2" s="1"/>
  <c r="G149" i="2"/>
  <c r="H149" i="2"/>
  <c r="T149" i="2" s="1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T156" i="2" s="1"/>
  <c r="G157" i="2"/>
  <c r="H157" i="2"/>
  <c r="T157" i="2" s="1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T164" i="2" s="1"/>
  <c r="G165" i="2"/>
  <c r="H165" i="2"/>
  <c r="T165" i="2" s="1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T172" i="2" s="1"/>
  <c r="G173" i="2"/>
  <c r="H173" i="2"/>
  <c r="T173" i="2" s="1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T180" i="2" s="1"/>
  <c r="G181" i="2"/>
  <c r="H181" i="2"/>
  <c r="T181" i="2" s="1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T188" i="2" s="1"/>
  <c r="G189" i="2"/>
  <c r="H189" i="2"/>
  <c r="T189" i="2" s="1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T196" i="2" s="1"/>
  <c r="G197" i="2"/>
  <c r="H197" i="2"/>
  <c r="T197" i="2" s="1"/>
  <c r="G198" i="2"/>
  <c r="H198" i="2"/>
  <c r="G199" i="2"/>
  <c r="H199" i="2"/>
  <c r="G200" i="2"/>
  <c r="H200" i="2"/>
  <c r="G201" i="2"/>
  <c r="H201" i="2"/>
  <c r="G202" i="2"/>
  <c r="H202" i="2"/>
  <c r="T202" i="2" s="1"/>
  <c r="T199" i="2" l="1"/>
  <c r="T193" i="2"/>
  <c r="T177" i="2"/>
  <c r="T161" i="2"/>
  <c r="T145" i="2"/>
  <c r="T119" i="2"/>
  <c r="T183" i="2"/>
  <c r="T167" i="2"/>
  <c r="T151" i="2"/>
  <c r="T135" i="2"/>
  <c r="T115" i="2"/>
  <c r="T105" i="2"/>
  <c r="T118" i="2"/>
  <c r="T201" i="2"/>
  <c r="T195" i="2"/>
  <c r="T182" i="2"/>
  <c r="T179" i="2"/>
  <c r="T166" i="2"/>
  <c r="T163" i="2"/>
  <c r="T150" i="2"/>
  <c r="T147" i="2"/>
  <c r="T134" i="2"/>
  <c r="T121" i="2"/>
  <c r="T111" i="2"/>
  <c r="T185" i="2"/>
  <c r="T169" i="2"/>
  <c r="T153" i="2"/>
  <c r="T137" i="2"/>
  <c r="T127" i="2"/>
  <c r="T107" i="2"/>
  <c r="T191" i="2"/>
  <c r="T175" i="2"/>
  <c r="T159" i="2"/>
  <c r="T143" i="2"/>
  <c r="T7" i="2"/>
  <c r="T11" i="2"/>
  <c r="T15" i="2"/>
  <c r="T17" i="2"/>
  <c r="T19" i="2"/>
  <c r="T25" i="2"/>
  <c r="T27" i="2"/>
  <c r="T33" i="2"/>
  <c r="T35" i="2"/>
  <c r="T41" i="2"/>
  <c r="T43" i="2"/>
  <c r="T49" i="2"/>
  <c r="T51" i="2"/>
  <c r="T57" i="2"/>
  <c r="T59" i="2"/>
  <c r="T65" i="2"/>
  <c r="T67" i="2"/>
  <c r="T73" i="2"/>
  <c r="T75" i="2"/>
  <c r="T81" i="2"/>
  <c r="T83" i="2"/>
  <c r="T89" i="2"/>
  <c r="T91" i="2"/>
  <c r="T97" i="2"/>
  <c r="T99" i="2"/>
  <c r="P4" i="2"/>
  <c r="Q4" i="2"/>
  <c r="P5" i="2"/>
  <c r="Q5" i="2"/>
  <c r="P6" i="2"/>
  <c r="Q6" i="2"/>
  <c r="P7" i="2"/>
  <c r="Q7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P25" i="2"/>
  <c r="Q25" i="2"/>
  <c r="P26" i="2"/>
  <c r="Q26" i="2"/>
  <c r="P27" i="2"/>
  <c r="Q27" i="2"/>
  <c r="P28" i="2"/>
  <c r="Q28" i="2"/>
  <c r="P29" i="2"/>
  <c r="Q29" i="2"/>
  <c r="P30" i="2"/>
  <c r="Q30" i="2"/>
  <c r="P31" i="2"/>
  <c r="Q31" i="2"/>
  <c r="P32" i="2"/>
  <c r="Q32" i="2"/>
  <c r="P33" i="2"/>
  <c r="Q33" i="2"/>
  <c r="P34" i="2"/>
  <c r="Q34" i="2"/>
  <c r="P35" i="2"/>
  <c r="Q35" i="2"/>
  <c r="P36" i="2"/>
  <c r="Q36" i="2"/>
  <c r="P37" i="2"/>
  <c r="Q37" i="2"/>
  <c r="P38" i="2"/>
  <c r="Q38" i="2"/>
  <c r="P39" i="2"/>
  <c r="Q39" i="2"/>
  <c r="P40" i="2"/>
  <c r="Q40" i="2"/>
  <c r="P41" i="2"/>
  <c r="Q41" i="2"/>
  <c r="P42" i="2"/>
  <c r="Q42" i="2"/>
  <c r="P43" i="2"/>
  <c r="Q43" i="2"/>
  <c r="P44" i="2"/>
  <c r="Q44" i="2"/>
  <c r="P45" i="2"/>
  <c r="Q45" i="2"/>
  <c r="P46" i="2"/>
  <c r="Q46" i="2"/>
  <c r="P47" i="2"/>
  <c r="Q47" i="2"/>
  <c r="P48" i="2"/>
  <c r="Q48" i="2"/>
  <c r="P49" i="2"/>
  <c r="Q49" i="2"/>
  <c r="P50" i="2"/>
  <c r="Q50" i="2"/>
  <c r="P51" i="2"/>
  <c r="Q51" i="2"/>
  <c r="P52" i="2"/>
  <c r="Q52" i="2"/>
  <c r="P53" i="2"/>
  <c r="Q53" i="2"/>
  <c r="P54" i="2"/>
  <c r="Q54" i="2"/>
  <c r="P55" i="2"/>
  <c r="Q55" i="2"/>
  <c r="P56" i="2"/>
  <c r="Q56" i="2"/>
  <c r="P57" i="2"/>
  <c r="Q57" i="2"/>
  <c r="P58" i="2"/>
  <c r="Q58" i="2"/>
  <c r="P59" i="2"/>
  <c r="Q59" i="2"/>
  <c r="P60" i="2"/>
  <c r="Q60" i="2"/>
  <c r="P61" i="2"/>
  <c r="Q61" i="2"/>
  <c r="P62" i="2"/>
  <c r="Q62" i="2"/>
  <c r="P63" i="2"/>
  <c r="Q63" i="2"/>
  <c r="P64" i="2"/>
  <c r="Q64" i="2"/>
  <c r="P65" i="2"/>
  <c r="Q65" i="2"/>
  <c r="P66" i="2"/>
  <c r="Q66" i="2"/>
  <c r="P67" i="2"/>
  <c r="Q67" i="2"/>
  <c r="P68" i="2"/>
  <c r="Q68" i="2"/>
  <c r="P69" i="2"/>
  <c r="Q69" i="2"/>
  <c r="P70" i="2"/>
  <c r="Q70" i="2"/>
  <c r="P71" i="2"/>
  <c r="Q71" i="2"/>
  <c r="P72" i="2"/>
  <c r="Q72" i="2"/>
  <c r="P73" i="2"/>
  <c r="Q73" i="2"/>
  <c r="P74" i="2"/>
  <c r="Q74" i="2"/>
  <c r="P75" i="2"/>
  <c r="Q75" i="2"/>
  <c r="P76" i="2"/>
  <c r="Q76" i="2"/>
  <c r="P77" i="2"/>
  <c r="Q77" i="2"/>
  <c r="P78" i="2"/>
  <c r="Q78" i="2"/>
  <c r="P79" i="2"/>
  <c r="Q79" i="2"/>
  <c r="P80" i="2"/>
  <c r="Q80" i="2"/>
  <c r="P81" i="2"/>
  <c r="Q81" i="2"/>
  <c r="P82" i="2"/>
  <c r="Q82" i="2"/>
  <c r="P83" i="2"/>
  <c r="Q83" i="2"/>
  <c r="P84" i="2"/>
  <c r="Q84" i="2"/>
  <c r="P85" i="2"/>
  <c r="Q85" i="2"/>
  <c r="P86" i="2"/>
  <c r="Q86" i="2"/>
  <c r="P87" i="2"/>
  <c r="Q87" i="2"/>
  <c r="P88" i="2"/>
  <c r="Q88" i="2"/>
  <c r="P89" i="2"/>
  <c r="Q89" i="2"/>
  <c r="P90" i="2"/>
  <c r="Q90" i="2"/>
  <c r="P91" i="2"/>
  <c r="Q91" i="2"/>
  <c r="P92" i="2"/>
  <c r="Q92" i="2"/>
  <c r="P93" i="2"/>
  <c r="Q93" i="2"/>
  <c r="P94" i="2"/>
  <c r="Q94" i="2"/>
  <c r="P95" i="2"/>
  <c r="Q95" i="2"/>
  <c r="P96" i="2"/>
  <c r="Q96" i="2"/>
  <c r="P97" i="2"/>
  <c r="Q97" i="2"/>
  <c r="P98" i="2"/>
  <c r="Q98" i="2"/>
  <c r="P99" i="2"/>
  <c r="Q99" i="2"/>
  <c r="P100" i="2"/>
  <c r="Q100" i="2"/>
  <c r="P101" i="2"/>
  <c r="Q101" i="2"/>
  <c r="P102" i="2"/>
  <c r="Q102" i="2"/>
  <c r="Q3" i="2"/>
  <c r="P3" i="2"/>
  <c r="G4" i="2"/>
  <c r="H4" i="2"/>
  <c r="T4" i="2" s="1"/>
  <c r="G5" i="2"/>
  <c r="H5" i="2"/>
  <c r="T5" i="2" s="1"/>
  <c r="G6" i="2"/>
  <c r="H6" i="2"/>
  <c r="T6" i="2" s="1"/>
  <c r="G7" i="2"/>
  <c r="H7" i="2"/>
  <c r="G8" i="2"/>
  <c r="H8" i="2"/>
  <c r="T8" i="2" s="1"/>
  <c r="G9" i="2"/>
  <c r="H9" i="2"/>
  <c r="T9" i="2" s="1"/>
  <c r="G10" i="2"/>
  <c r="H10" i="2"/>
  <c r="T10" i="2" s="1"/>
  <c r="G11" i="2"/>
  <c r="H11" i="2"/>
  <c r="G12" i="2"/>
  <c r="H12" i="2"/>
  <c r="T12" i="2" s="1"/>
  <c r="G13" i="2"/>
  <c r="H13" i="2"/>
  <c r="T13" i="2" s="1"/>
  <c r="G14" i="2"/>
  <c r="H14" i="2"/>
  <c r="T14" i="2" s="1"/>
  <c r="G15" i="2"/>
  <c r="H15" i="2"/>
  <c r="G16" i="2"/>
  <c r="H16" i="2"/>
  <c r="G17" i="2"/>
  <c r="H17" i="2"/>
  <c r="G18" i="2"/>
  <c r="H18" i="2"/>
  <c r="T18" i="2" s="1"/>
  <c r="G19" i="2"/>
  <c r="H19" i="2"/>
  <c r="G20" i="2"/>
  <c r="H20" i="2"/>
  <c r="T20" i="2" s="1"/>
  <c r="G21" i="2"/>
  <c r="H21" i="2"/>
  <c r="T21" i="2" s="1"/>
  <c r="G22" i="2"/>
  <c r="H22" i="2"/>
  <c r="T22" i="2" s="1"/>
  <c r="G23" i="2"/>
  <c r="H23" i="2"/>
  <c r="T23" i="2" s="1"/>
  <c r="G24" i="2"/>
  <c r="H24" i="2"/>
  <c r="T24" i="2" s="1"/>
  <c r="G25" i="2"/>
  <c r="H25" i="2"/>
  <c r="G26" i="2"/>
  <c r="H26" i="2"/>
  <c r="T26" i="2" s="1"/>
  <c r="G27" i="2"/>
  <c r="H27" i="2"/>
  <c r="G28" i="2"/>
  <c r="H28" i="2"/>
  <c r="T28" i="2" s="1"/>
  <c r="G29" i="2"/>
  <c r="H29" i="2"/>
  <c r="T29" i="2" s="1"/>
  <c r="G30" i="2"/>
  <c r="H30" i="2"/>
  <c r="T30" i="2" s="1"/>
  <c r="G31" i="2"/>
  <c r="H31" i="2"/>
  <c r="T31" i="2" s="1"/>
  <c r="G32" i="2"/>
  <c r="H32" i="2"/>
  <c r="T32" i="2" s="1"/>
  <c r="G33" i="2"/>
  <c r="H33" i="2"/>
  <c r="G34" i="2"/>
  <c r="H34" i="2"/>
  <c r="T34" i="2" s="1"/>
  <c r="G35" i="2"/>
  <c r="H35" i="2"/>
  <c r="G36" i="2"/>
  <c r="H36" i="2"/>
  <c r="T36" i="2" s="1"/>
  <c r="G37" i="2"/>
  <c r="H37" i="2"/>
  <c r="T37" i="2" s="1"/>
  <c r="G38" i="2"/>
  <c r="H38" i="2"/>
  <c r="T38" i="2" s="1"/>
  <c r="G39" i="2"/>
  <c r="H39" i="2"/>
  <c r="T39" i="2" s="1"/>
  <c r="G40" i="2"/>
  <c r="H40" i="2"/>
  <c r="T40" i="2" s="1"/>
  <c r="G41" i="2"/>
  <c r="H41" i="2"/>
  <c r="G42" i="2"/>
  <c r="H42" i="2"/>
  <c r="T42" i="2" s="1"/>
  <c r="G43" i="2"/>
  <c r="H43" i="2"/>
  <c r="G44" i="2"/>
  <c r="H44" i="2"/>
  <c r="T44" i="2" s="1"/>
  <c r="G45" i="2"/>
  <c r="H45" i="2"/>
  <c r="T45" i="2" s="1"/>
  <c r="G46" i="2"/>
  <c r="H46" i="2"/>
  <c r="T46" i="2" s="1"/>
  <c r="G47" i="2"/>
  <c r="H47" i="2"/>
  <c r="T47" i="2" s="1"/>
  <c r="G48" i="2"/>
  <c r="H48" i="2"/>
  <c r="T48" i="2" s="1"/>
  <c r="G49" i="2"/>
  <c r="H49" i="2"/>
  <c r="G50" i="2"/>
  <c r="H50" i="2"/>
  <c r="T50" i="2" s="1"/>
  <c r="G51" i="2"/>
  <c r="H51" i="2"/>
  <c r="G52" i="2"/>
  <c r="H52" i="2"/>
  <c r="T52" i="2" s="1"/>
  <c r="G53" i="2"/>
  <c r="H53" i="2"/>
  <c r="T53" i="2" s="1"/>
  <c r="G54" i="2"/>
  <c r="H54" i="2"/>
  <c r="T54" i="2" s="1"/>
  <c r="G55" i="2"/>
  <c r="H55" i="2"/>
  <c r="T55" i="2" s="1"/>
  <c r="G56" i="2"/>
  <c r="H56" i="2"/>
  <c r="T56" i="2" s="1"/>
  <c r="G57" i="2"/>
  <c r="H57" i="2"/>
  <c r="G58" i="2"/>
  <c r="H58" i="2"/>
  <c r="T58" i="2" s="1"/>
  <c r="G59" i="2"/>
  <c r="H59" i="2"/>
  <c r="G60" i="2"/>
  <c r="H60" i="2"/>
  <c r="T60" i="2" s="1"/>
  <c r="G61" i="2"/>
  <c r="H61" i="2"/>
  <c r="T61" i="2" s="1"/>
  <c r="G62" i="2"/>
  <c r="H62" i="2"/>
  <c r="T62" i="2" s="1"/>
  <c r="G63" i="2"/>
  <c r="H63" i="2"/>
  <c r="T63" i="2" s="1"/>
  <c r="G64" i="2"/>
  <c r="H64" i="2"/>
  <c r="T64" i="2" s="1"/>
  <c r="G65" i="2"/>
  <c r="H65" i="2"/>
  <c r="G66" i="2"/>
  <c r="H66" i="2"/>
  <c r="T66" i="2" s="1"/>
  <c r="G67" i="2"/>
  <c r="H67" i="2"/>
  <c r="G68" i="2"/>
  <c r="H68" i="2"/>
  <c r="T68" i="2" s="1"/>
  <c r="G69" i="2"/>
  <c r="H69" i="2"/>
  <c r="T69" i="2" s="1"/>
  <c r="G70" i="2"/>
  <c r="H70" i="2"/>
  <c r="T70" i="2" s="1"/>
  <c r="G71" i="2"/>
  <c r="H71" i="2"/>
  <c r="T71" i="2" s="1"/>
  <c r="G72" i="2"/>
  <c r="H72" i="2"/>
  <c r="T72" i="2" s="1"/>
  <c r="G73" i="2"/>
  <c r="H73" i="2"/>
  <c r="G74" i="2"/>
  <c r="H74" i="2"/>
  <c r="T74" i="2" s="1"/>
  <c r="G75" i="2"/>
  <c r="H75" i="2"/>
  <c r="G76" i="2"/>
  <c r="H76" i="2"/>
  <c r="T76" i="2" s="1"/>
  <c r="G77" i="2"/>
  <c r="H77" i="2"/>
  <c r="T77" i="2" s="1"/>
  <c r="G78" i="2"/>
  <c r="H78" i="2"/>
  <c r="T78" i="2" s="1"/>
  <c r="G79" i="2"/>
  <c r="H79" i="2"/>
  <c r="T79" i="2" s="1"/>
  <c r="G80" i="2"/>
  <c r="H80" i="2"/>
  <c r="T80" i="2" s="1"/>
  <c r="G81" i="2"/>
  <c r="H81" i="2"/>
  <c r="G82" i="2"/>
  <c r="H82" i="2"/>
  <c r="T82" i="2" s="1"/>
  <c r="G83" i="2"/>
  <c r="H83" i="2"/>
  <c r="G84" i="2"/>
  <c r="H84" i="2"/>
  <c r="T84" i="2" s="1"/>
  <c r="G85" i="2"/>
  <c r="H85" i="2"/>
  <c r="T85" i="2" s="1"/>
  <c r="G86" i="2"/>
  <c r="H86" i="2"/>
  <c r="T86" i="2" s="1"/>
  <c r="G87" i="2"/>
  <c r="H87" i="2"/>
  <c r="T87" i="2" s="1"/>
  <c r="G88" i="2"/>
  <c r="H88" i="2"/>
  <c r="T88" i="2" s="1"/>
  <c r="G89" i="2"/>
  <c r="H89" i="2"/>
  <c r="G90" i="2"/>
  <c r="H90" i="2"/>
  <c r="T90" i="2" s="1"/>
  <c r="G91" i="2"/>
  <c r="H91" i="2"/>
  <c r="G92" i="2"/>
  <c r="H92" i="2"/>
  <c r="T92" i="2" s="1"/>
  <c r="G93" i="2"/>
  <c r="H93" i="2"/>
  <c r="T93" i="2" s="1"/>
  <c r="G94" i="2"/>
  <c r="H94" i="2"/>
  <c r="T94" i="2" s="1"/>
  <c r="G95" i="2"/>
  <c r="H95" i="2"/>
  <c r="T95" i="2" s="1"/>
  <c r="G96" i="2"/>
  <c r="H96" i="2"/>
  <c r="T96" i="2" s="1"/>
  <c r="G97" i="2"/>
  <c r="H97" i="2"/>
  <c r="G98" i="2"/>
  <c r="H98" i="2"/>
  <c r="T98" i="2" s="1"/>
  <c r="G99" i="2"/>
  <c r="H99" i="2"/>
  <c r="G100" i="2"/>
  <c r="H100" i="2"/>
  <c r="T100" i="2" s="1"/>
  <c r="G101" i="2"/>
  <c r="H101" i="2"/>
  <c r="T101" i="2" s="1"/>
  <c r="G102" i="2"/>
  <c r="H102" i="2"/>
  <c r="T102" i="2" s="1"/>
  <c r="H3" i="2"/>
  <c r="T3" i="2" s="1"/>
  <c r="G3" i="2"/>
  <c r="T16" i="2" l="1"/>
</calcChain>
</file>

<file path=xl/sharedStrings.xml><?xml version="1.0" encoding="utf-8"?>
<sst xmlns="http://schemas.openxmlformats.org/spreadsheetml/2006/main" count="565" uniqueCount="522">
  <si>
    <t>ATRIUM</t>
  </si>
  <si>
    <t>SPONGIOSUM</t>
  </si>
  <si>
    <t>ID</t>
  </si>
  <si>
    <t>Area background</t>
  </si>
  <si>
    <t>Area inflammed tissue</t>
  </si>
  <si>
    <t>Area red blood cells</t>
  </si>
  <si>
    <t>Area non-inflamed tissue</t>
  </si>
  <si>
    <t>Precentage inflammation</t>
  </si>
  <si>
    <t>Relative Area Inflammation</t>
  </si>
  <si>
    <t>Percentage inflammation</t>
  </si>
  <si>
    <t>Area inflamed tissue</t>
  </si>
  <si>
    <t>2022_0221_001 (Image 2)</t>
  </si>
  <si>
    <t>2022_0221_002 (Image 2)</t>
  </si>
  <si>
    <t>2022_0221_003 (Image 2)</t>
  </si>
  <si>
    <t>2022_0221_004 (Image 2)</t>
  </si>
  <si>
    <t>2022_0221_005 (Image 2)</t>
  </si>
  <si>
    <t>2022_0221_006 (Image 2)</t>
  </si>
  <si>
    <t>2022_0221_007 (Image 2)</t>
  </si>
  <si>
    <t>2022_0221_008 (Image 2)</t>
  </si>
  <si>
    <t>2022_0221_009 (Image 2)</t>
  </si>
  <si>
    <t>2022_0221_010 (Image 2)</t>
  </si>
  <si>
    <t>2022_0221_011 (Image 2)</t>
  </si>
  <si>
    <t>2022_0221_012 (Image 2)</t>
  </si>
  <si>
    <t>2022_0221_013 (Image 2)</t>
  </si>
  <si>
    <t>2022_0221_014 (Image 2)</t>
  </si>
  <si>
    <t>2022_0221_015 (Image 2)</t>
  </si>
  <si>
    <t>2022_0221_016 (Image 2)</t>
  </si>
  <si>
    <t>2022_0221_017 (Image 2)</t>
  </si>
  <si>
    <t>2022_0221_018 (Image 2)</t>
  </si>
  <si>
    <t>2022_0221_019 (Image 2)</t>
  </si>
  <si>
    <t>2022_0221_020 (Image 2)</t>
  </si>
  <si>
    <t>2022_0221_021 (Image 2)</t>
  </si>
  <si>
    <t>2022_0221_022 (Image 2)</t>
  </si>
  <si>
    <t>2022_0221_023 (Image 2)</t>
  </si>
  <si>
    <t>2022_0221_024 (Image 2)</t>
  </si>
  <si>
    <t>2022_0221_025 (Image 2)</t>
  </si>
  <si>
    <t>2022_0221_026 (Image 2)</t>
  </si>
  <si>
    <t>2022_0221_027 (Image 2)</t>
  </si>
  <si>
    <t>2022_0221_028 (Image 2)</t>
  </si>
  <si>
    <t>2022_0221_029 (Image 2)</t>
  </si>
  <si>
    <t>2022_0221_030 (Image 2)</t>
  </si>
  <si>
    <t>2022_0221_031 (Image 2)</t>
  </si>
  <si>
    <t>2022_0221_032 (Image 2)</t>
  </si>
  <si>
    <t>2022_0221_033 (Image 2)</t>
  </si>
  <si>
    <t>2022_0221_034 (Image 2)</t>
  </si>
  <si>
    <t>2022_0221_035 (Image 2)</t>
  </si>
  <si>
    <t>2022_0221_036 (Image 2)</t>
  </si>
  <si>
    <t>2022_0221_037 (Image 2)</t>
  </si>
  <si>
    <t>2022_0221_038 (Image 2)</t>
  </si>
  <si>
    <t>2022_0221_039 (Image 2)</t>
  </si>
  <si>
    <t>2022_0221_040 (Image 2)</t>
  </si>
  <si>
    <t>2022_0221_041 (Image 2)</t>
  </si>
  <si>
    <t>2022_0221_042 (Image 2)</t>
  </si>
  <si>
    <t>2022_0221_043 (Image 2)</t>
  </si>
  <si>
    <t>2022_0221_044 (Image 2)</t>
  </si>
  <si>
    <t>2022_0221_045 (Image 2)</t>
  </si>
  <si>
    <t>2022_0221_046 (Image 2)</t>
  </si>
  <si>
    <t>2022_0221_047 (Image 2)</t>
  </si>
  <si>
    <t>2022_0221_048 (Image 2)</t>
  </si>
  <si>
    <t>2022_0221_049 (Image 2)</t>
  </si>
  <si>
    <t>2022_0221_050 (Image 2)</t>
  </si>
  <si>
    <t>2022_0221_051 (Image 2)</t>
  </si>
  <si>
    <t>2022_0221_052 (Image 2)</t>
  </si>
  <si>
    <t>2022_0221_053 (Image 2)</t>
  </si>
  <si>
    <t>2022_0221_054 (Image 2)</t>
  </si>
  <si>
    <t>2022_0221_055 (Image 2)</t>
  </si>
  <si>
    <t>2022_0221_056 (Image 2)</t>
  </si>
  <si>
    <t>2022_0221_057 (Image 2)</t>
  </si>
  <si>
    <t>2022_0221_058 (Image 2)</t>
  </si>
  <si>
    <t>2022_0221_059 (Image 2)</t>
  </si>
  <si>
    <t>2022_0221_060 (Image 2)</t>
  </si>
  <si>
    <t>2022_0221_061 (Image 2)</t>
  </si>
  <si>
    <t>2022_0221_062 (Image 2)</t>
  </si>
  <si>
    <t>2022_0221_063 (Image 2)</t>
  </si>
  <si>
    <t>2022_0221_064 (Image 2)</t>
  </si>
  <si>
    <t>2022_0221_065 (Image 2)</t>
  </si>
  <si>
    <t>2022_0221_066 (Image 2)</t>
  </si>
  <si>
    <t>2022_0221_067 (Image 2)</t>
  </si>
  <si>
    <t>2022_0221_068 (Image 2)</t>
  </si>
  <si>
    <t>2022_0221_069 (Image 2)</t>
  </si>
  <si>
    <t>2022_0221_070 (Image 2)</t>
  </si>
  <si>
    <t>2022_0221_071 (Image 2)</t>
  </si>
  <si>
    <t>2022_0221_072 (Image 2)</t>
  </si>
  <si>
    <t>2022_0221_073 (Image 2)</t>
  </si>
  <si>
    <t>2022_0221_074 (Image 2)</t>
  </si>
  <si>
    <t>2022_0221_075 (Image 2)</t>
  </si>
  <si>
    <t>2022_0221_076 (Image 2)</t>
  </si>
  <si>
    <t>2022_0221_077 (Image 2)</t>
  </si>
  <si>
    <t>2022_0221_078 (Image 2)</t>
  </si>
  <si>
    <t>2022_0221_079 (Image 2)</t>
  </si>
  <si>
    <t>2022_0221_080 (Image 2)</t>
  </si>
  <si>
    <t>2022_0221_081 (Image 2)</t>
  </si>
  <si>
    <t>2022_0221_082 (Image 2)</t>
  </si>
  <si>
    <t>2022_0221_083 (Image 2)</t>
  </si>
  <si>
    <t>2022_0221_084 (Image 2)</t>
  </si>
  <si>
    <t>2022_0221_085 (Image 2)</t>
  </si>
  <si>
    <t>2022_0221_086 (Image 2)</t>
  </si>
  <si>
    <t>2022_0221_087 (Image 2)</t>
  </si>
  <si>
    <t>2022_0221_088 (Image 2)</t>
  </si>
  <si>
    <t>2022_0221_089 (Image 2)</t>
  </si>
  <si>
    <t>2022_0221_090 (Image 2)</t>
  </si>
  <si>
    <t>2022_0221_091 (Image 2)</t>
  </si>
  <si>
    <t>2022_0221_092 (Image 2)</t>
  </si>
  <si>
    <t>2022_0221_093 (Image 2)</t>
  </si>
  <si>
    <t>2022_0221_094 (Image 2)</t>
  </si>
  <si>
    <t>2022_0221_095 (Image 2)</t>
  </si>
  <si>
    <t>2022_0221_096 (Image 2)</t>
  </si>
  <si>
    <t>2022_0221_097 (Image 2)</t>
  </si>
  <si>
    <t>2022_0221_098 (Image 2)</t>
  </si>
  <si>
    <t>2022_0221_099 (Image 2)</t>
  </si>
  <si>
    <t>2022_0221_100 (Image 2)</t>
  </si>
  <si>
    <t>Ratio inflammation atrium spongiosum</t>
  </si>
  <si>
    <t>OK</t>
  </si>
  <si>
    <t>Ratio controll</t>
  </si>
  <si>
    <t>2022_0221_101 (Image 2)</t>
  </si>
  <si>
    <t>2022_0221_102 (Image 2)</t>
  </si>
  <si>
    <t>2022_0221_103 (Image 2)</t>
  </si>
  <si>
    <t>2022_0221_104 (Image 2)</t>
  </si>
  <si>
    <t>2022_0221_105 (Image 2)</t>
  </si>
  <si>
    <t>2022_0221_106 (Image 2)</t>
  </si>
  <si>
    <t>2022_0221_107 (Image 2)</t>
  </si>
  <si>
    <t>2022_0221_108 (Image 2)</t>
  </si>
  <si>
    <t>2022_0221_109 (Image 2)</t>
  </si>
  <si>
    <t>2022_0221_110 (Image 2)</t>
  </si>
  <si>
    <t>2022_0221_111 (Image 2)</t>
  </si>
  <si>
    <t>2022_0221_112 (Image 2)</t>
  </si>
  <si>
    <t>2022_0221_113 (Image 2)</t>
  </si>
  <si>
    <t>2022_0221_114 (Image 2)</t>
  </si>
  <si>
    <t>2022_0221_115 (Image 2)</t>
  </si>
  <si>
    <t>2022_0221_116 (Image 2)</t>
  </si>
  <si>
    <t>2022_0221_117 (Image 2)</t>
  </si>
  <si>
    <t>2022_0221_118 (Image 2)</t>
  </si>
  <si>
    <t>2022_0221_119 (Image 2)</t>
  </si>
  <si>
    <t>2022_0221_120 (Image 2)</t>
  </si>
  <si>
    <t>2022_0221_121 (Image 2)</t>
  </si>
  <si>
    <t>2022_0221_122 (Image 2)</t>
  </si>
  <si>
    <t>2022_0221_123 (Image 2)</t>
  </si>
  <si>
    <t>2022_0221_124 (Image 2)</t>
  </si>
  <si>
    <t>2022_0221_125 (Image 2)</t>
  </si>
  <si>
    <t>2022_0221_126 (Image 2)</t>
  </si>
  <si>
    <t>2022_0221_127 (Image 2)</t>
  </si>
  <si>
    <t>2022_0221_128 (Image 2)</t>
  </si>
  <si>
    <t>2022_0221_129 (Image 2)</t>
  </si>
  <si>
    <t>2022_0221_130 (Image 2)</t>
  </si>
  <si>
    <t>2022_0221_131 (Image 2)</t>
  </si>
  <si>
    <t>2022_0221_132 (Image 2)</t>
  </si>
  <si>
    <t>2022_0221_133 (Image 2)</t>
  </si>
  <si>
    <t>2022_0221_134 (Image 2)</t>
  </si>
  <si>
    <t>2022_0221_135 (Image 2)</t>
  </si>
  <si>
    <t>2022_0221_136 (Image 2)</t>
  </si>
  <si>
    <t>2022_0221_137 (Image 2)</t>
  </si>
  <si>
    <t>2022_0221_138 (Image 2)</t>
  </si>
  <si>
    <t>2022_0221_139 (Image 2)</t>
  </si>
  <si>
    <t>2022_0221_140 (Image 2)</t>
  </si>
  <si>
    <t>2022_0221_141 (Image 2)</t>
  </si>
  <si>
    <t>2022_0221_142 (Image 2)</t>
  </si>
  <si>
    <t>2022_0221_143 (Image 2)</t>
  </si>
  <si>
    <t>2022_0221_144 (Image 2)</t>
  </si>
  <si>
    <t>2022_0221_145 (Image 2)</t>
  </si>
  <si>
    <t>2022_0221_146 (Image 2)</t>
  </si>
  <si>
    <t>2022_0221_147 (Image 2)</t>
  </si>
  <si>
    <t>2022_0221_148 (Image 2)</t>
  </si>
  <si>
    <t>2022_0221_149 (Image 2)</t>
  </si>
  <si>
    <t>2022_0221_150 (Image 2)</t>
  </si>
  <si>
    <t>2022_0221_151 (Image 2)</t>
  </si>
  <si>
    <t>2022_0221_152 (Image 2)</t>
  </si>
  <si>
    <t>2022_0221_153 (Image 2)</t>
  </si>
  <si>
    <t>2022_0221_154 (Image 2)</t>
  </si>
  <si>
    <t>2022_0221_155 (Image 2)</t>
  </si>
  <si>
    <t>2022_0221_156 (Image 2)</t>
  </si>
  <si>
    <t>2022_0221_157 (Image 2)</t>
  </si>
  <si>
    <t>2022_0221_158 (Image 2)</t>
  </si>
  <si>
    <t>2022_0221_159 (Image 2)</t>
  </si>
  <si>
    <t>2022_0221_160 (Image 2)</t>
  </si>
  <si>
    <t>2022_0221_161 (Image 2)</t>
  </si>
  <si>
    <t>2022_0221_162 (Image 2)</t>
  </si>
  <si>
    <t>2022_0221_163 (Image 2)</t>
  </si>
  <si>
    <t>2022_0221_164 (Image 2)</t>
  </si>
  <si>
    <t>2022_0221_165 (Image 2)</t>
  </si>
  <si>
    <t>2022_0221_166 (Image 2)</t>
  </si>
  <si>
    <t>2022_0221_167 (Image 2)</t>
  </si>
  <si>
    <t>2022_0221_168 (Image 2)</t>
  </si>
  <si>
    <t>2022_0221_169 (Image 2)</t>
  </si>
  <si>
    <t>2022_0221_170 (Image 2)</t>
  </si>
  <si>
    <t>2022_0221_171 (Image 2)</t>
  </si>
  <si>
    <t>2022_0221_172 (Image 2)</t>
  </si>
  <si>
    <t>2022_0221_173 (Image 2)</t>
  </si>
  <si>
    <t>2022_0221_174 (Image 2)</t>
  </si>
  <si>
    <t>2022_0221_175 (Image 2)</t>
  </si>
  <si>
    <t>2022_0221_176 (Image 2)</t>
  </si>
  <si>
    <t>2022_0221_177 (Image 2)</t>
  </si>
  <si>
    <t>2022_0221_178 (Image 2)</t>
  </si>
  <si>
    <t>2022_0221_179 (Image 2)</t>
  </si>
  <si>
    <t>2022_0221_180 (Image 2)</t>
  </si>
  <si>
    <t>2022_0221_181 (Image 2)</t>
  </si>
  <si>
    <t>2022_0221_182 (Image 2)</t>
  </si>
  <si>
    <t>2022_0221_183 (Image 2)</t>
  </si>
  <si>
    <t>2022_0221_184 (Image 2)</t>
  </si>
  <si>
    <t>2022_0221_185 (Image 2)</t>
  </si>
  <si>
    <t>2022_0221_186 (Image 2)</t>
  </si>
  <si>
    <t>2022_0221_187 (Image 2)</t>
  </si>
  <si>
    <t>2022_0221_188 (Image 2)</t>
  </si>
  <si>
    <t>2022_0221_189 (Image 2)</t>
  </si>
  <si>
    <t>2022_0221_190 (Image 2)</t>
  </si>
  <si>
    <t>2022_0221_191 (Image 2)</t>
  </si>
  <si>
    <t>2022_0221_192 (Image 2)</t>
  </si>
  <si>
    <t>2022_0221_193 (Image 2)</t>
  </si>
  <si>
    <t>2022_0221_194 (Image 2)</t>
  </si>
  <si>
    <t>2022_0221_195 (Image 2)</t>
  </si>
  <si>
    <t>2022_0221_196 (Image 2)</t>
  </si>
  <si>
    <t>2022_0221_197 (Image 2)</t>
  </si>
  <si>
    <t>2022_0221_198 (Image 2)</t>
  </si>
  <si>
    <t>2022_0221_199 (Image 2)</t>
  </si>
  <si>
    <t>2022_0221_200 (Image 2)</t>
  </si>
  <si>
    <t>Not representative; should be omitted</t>
  </si>
  <si>
    <t>No atrium on the slide</t>
  </si>
  <si>
    <t xml:space="preserve">Extensive granulomatous pericaridits: non-CMS lesions and should be omitted </t>
  </si>
  <si>
    <t>Ok</t>
  </si>
  <si>
    <t>2022_0221_201 (Image 2)</t>
  </si>
  <si>
    <t>2022_0221_202 (Image 2)</t>
  </si>
  <si>
    <t>2022_0221_203 (Image 2)</t>
  </si>
  <si>
    <t>2022_0221_204 (Image 2)</t>
  </si>
  <si>
    <t>2022_0221_205 (Image 2)</t>
  </si>
  <si>
    <t>2022_0221_206 (Image 2)</t>
  </si>
  <si>
    <t>2022_0221_207 (Image 2)</t>
  </si>
  <si>
    <t>2022_0221_208 (Image 2)</t>
  </si>
  <si>
    <t>2022_0221_209 (Image 2)</t>
  </si>
  <si>
    <t>2022_0221_210 (Image 2)</t>
  </si>
  <si>
    <t>2022_0221_211 (Image 2)</t>
  </si>
  <si>
    <t>2022_0221_212 (Image 2)</t>
  </si>
  <si>
    <t>2022_0221_213 (Image 2)</t>
  </si>
  <si>
    <t>2022_0221_214 (Image 2)</t>
  </si>
  <si>
    <t>2022_0221_215 (Image 2)</t>
  </si>
  <si>
    <t>2022_0221_216 (Image 2)</t>
  </si>
  <si>
    <t>2022_0221_217 (Image 2)</t>
  </si>
  <si>
    <t>2022_0221_218 (Image 2)</t>
  </si>
  <si>
    <t>2022_0221_219 (Image 2)</t>
  </si>
  <si>
    <t>2022_0221_220 (Image 2)</t>
  </si>
  <si>
    <t>2022_0221_221 (Image 2)</t>
  </si>
  <si>
    <t>2022_0221_222 (Image 2)</t>
  </si>
  <si>
    <t>2022_0221_223 (Image 2)</t>
  </si>
  <si>
    <t>2022_0221_224 (Image 2)</t>
  </si>
  <si>
    <t>2022_0221_225 (Image 2)</t>
  </si>
  <si>
    <t>2022_0221_226 (Image 2)</t>
  </si>
  <si>
    <t>2022_0221_227 (Image 2)</t>
  </si>
  <si>
    <t>2022_0221_228 (Image 2)</t>
  </si>
  <si>
    <t>2022_0221_229 (Image 2)</t>
  </si>
  <si>
    <t>2022_0221_230 (Image 2)</t>
  </si>
  <si>
    <t>2022_0221_231 (Image 2)</t>
  </si>
  <si>
    <t>2022_0221_232 (Image 2)</t>
  </si>
  <si>
    <t>2022_0221_233 (Image 2)</t>
  </si>
  <si>
    <t>2022_0221_234 (Image 2)</t>
  </si>
  <si>
    <t>2022_0221_235 (Image 2)</t>
  </si>
  <si>
    <t>2022_0221_236 (Image 2)</t>
  </si>
  <si>
    <t>2022_0221_237 (Image 2)</t>
  </si>
  <si>
    <t>2022_0221_238 (Image 2)</t>
  </si>
  <si>
    <t>2022_0221_239 (Image 2)</t>
  </si>
  <si>
    <t>2022_0221_240 (Image 2)</t>
  </si>
  <si>
    <t>2022_0221_241 (Image 2)</t>
  </si>
  <si>
    <t>2022_0221_242 (Image 2)</t>
  </si>
  <si>
    <t>2022_0221_243 (Image 2)</t>
  </si>
  <si>
    <t>2022_0221_244 (Image 2)</t>
  </si>
  <si>
    <t>2022_0221_245 (Image 2)</t>
  </si>
  <si>
    <t>2022_0221_246 (Image 2)</t>
  </si>
  <si>
    <t>2022_0221_247 (Image 2)</t>
  </si>
  <si>
    <t>2022_0221_248 (Image 2)</t>
  </si>
  <si>
    <t>2022_0221_249 (Image 2)</t>
  </si>
  <si>
    <t>2022_0221_250 (Image 2)</t>
  </si>
  <si>
    <t>2022_0221_251 (Image 2)</t>
  </si>
  <si>
    <t>2022_0221_252 (Image 2)</t>
  </si>
  <si>
    <t>2022_0221_253 (Image 2)</t>
  </si>
  <si>
    <t>2022_0221_254 (Image 2)</t>
  </si>
  <si>
    <t>2022_0221_255 (Image 2)</t>
  </si>
  <si>
    <t>2022_0221_256 (Image 2)</t>
  </si>
  <si>
    <t>2022_0221_257 (Image 2)</t>
  </si>
  <si>
    <t>2022_0221_258 (Image 2)</t>
  </si>
  <si>
    <t>2022_0221_259 (Image 2)</t>
  </si>
  <si>
    <t>2022_0221_260 (Image 2)</t>
  </si>
  <si>
    <t>2022_0221_261 (Image 2)</t>
  </si>
  <si>
    <t>2022_0221_262 (Image 2)</t>
  </si>
  <si>
    <t>2022_0221_263 (Image 2)</t>
  </si>
  <si>
    <t>2022_0221_264 (Image 2)</t>
  </si>
  <si>
    <t>2022_0221_265 (Image 2)</t>
  </si>
  <si>
    <t>2022_0221_266 (Image 2)</t>
  </si>
  <si>
    <t>2022_0221_267 (Image 2)</t>
  </si>
  <si>
    <t>2022_0221_268 (Image 2)</t>
  </si>
  <si>
    <t>2022_0221_269 (Image 2)</t>
  </si>
  <si>
    <t>2022_0221_270 (Image 2)</t>
  </si>
  <si>
    <t>2022_0221_271 (Image 2)</t>
  </si>
  <si>
    <t>2022_0221_272 (Image 2)</t>
  </si>
  <si>
    <t>2022_0221_273 (Image 2)</t>
  </si>
  <si>
    <t>2022_0221_274 (Image 2)</t>
  </si>
  <si>
    <t>2022_0221_275 (Image 2)</t>
  </si>
  <si>
    <t>2022_0221_276 (Image 2)</t>
  </si>
  <si>
    <t>2022_0221_277 (Image 2)</t>
  </si>
  <si>
    <t>2022_0221_278 (Image 2)</t>
  </si>
  <si>
    <t>2022_0221_279 (Image 2)</t>
  </si>
  <si>
    <t>2022_0221_280 (Image 2)</t>
  </si>
  <si>
    <t>2022_0221_281 (Image 2)</t>
  </si>
  <si>
    <t>2022_0221_282 (Image 2)</t>
  </si>
  <si>
    <t>2022_0221_283 (Image 2)</t>
  </si>
  <si>
    <t>2022_0221_284 (Image 2)</t>
  </si>
  <si>
    <t>2022_0221_285 (Image 2)</t>
  </si>
  <si>
    <t>2022_0221_286 (Image 2)</t>
  </si>
  <si>
    <t>2022_0221_287 (Image 2)</t>
  </si>
  <si>
    <t>2022_0221_288 (Image 2)</t>
  </si>
  <si>
    <t>2022_0221_289 (Image 2)</t>
  </si>
  <si>
    <t>2022_0221_290 (Image 2)</t>
  </si>
  <si>
    <t>2022_0221_291 (Image 2)</t>
  </si>
  <si>
    <t>2022_0221_292 (Image 2)</t>
  </si>
  <si>
    <t>2022_0221_293 (Image 2)</t>
  </si>
  <si>
    <t>2022_0221_294 (Image 2)</t>
  </si>
  <si>
    <t>2022_0221_295 (Image 2)</t>
  </si>
  <si>
    <t>2022_0221_296 (Image 2)</t>
  </si>
  <si>
    <t>2022_0221_297 (Image 2)</t>
  </si>
  <si>
    <t>2022_0221_298 (Image 2)</t>
  </si>
  <si>
    <t>2022_0221_299 (Image 2)</t>
  </si>
  <si>
    <t>2022_0221_300 (Image 2)</t>
  </si>
  <si>
    <t>Poor slide quality!</t>
  </si>
  <si>
    <t>Hardly any atrium</t>
  </si>
  <si>
    <t>2022_0221_301 (Image 2)</t>
  </si>
  <si>
    <t>2022_0221_302 (Image 2)</t>
  </si>
  <si>
    <t>2022_0221_303 (Image 2)</t>
  </si>
  <si>
    <t>2022_0221_304 (Image 2)</t>
  </si>
  <si>
    <t>2022_0221_305 (Image 2)</t>
  </si>
  <si>
    <t>2022_0221_306 (Image 2)</t>
  </si>
  <si>
    <t>2022_0221_307 (Image 2)</t>
  </si>
  <si>
    <t>2022_0221_308 (Image 2)</t>
  </si>
  <si>
    <t>2022_0221_309 (Image 2)</t>
  </si>
  <si>
    <t>2022_0221_310 (Image 2)</t>
  </si>
  <si>
    <t>2022_0221_311 (Image 2)</t>
  </si>
  <si>
    <t>2022_0221_312 (Image 2)</t>
  </si>
  <si>
    <t>2022_0221_313 (Image 2)</t>
  </si>
  <si>
    <t>2022_0221_314 (Image 2)</t>
  </si>
  <si>
    <t>2022_0221_315 (Image 2)</t>
  </si>
  <si>
    <t>2022_0221_316 (Image 2)</t>
  </si>
  <si>
    <t>2022_0221_317 (Image 2)</t>
  </si>
  <si>
    <t>2022_0221_318 (Image 2)</t>
  </si>
  <si>
    <t>2022_0221_319 (Image 2)</t>
  </si>
  <si>
    <t>2022_0221_320 (Image 2)</t>
  </si>
  <si>
    <t>2022_0221_321 (Image 2)</t>
  </si>
  <si>
    <t>2022_0221_322 (Image 2)</t>
  </si>
  <si>
    <t>2022_0221_323 (Image 2)</t>
  </si>
  <si>
    <t>2022_0221_324 (Image 2)</t>
  </si>
  <si>
    <t>2022_0221_325 (Image 2)</t>
  </si>
  <si>
    <t>2022_0221_326 (Image 2)</t>
  </si>
  <si>
    <t>2022_0221_327 (Image 2)</t>
  </si>
  <si>
    <t>2022_0221_328 (Image 2)</t>
  </si>
  <si>
    <t>2022_0221_329 (Image 2)</t>
  </si>
  <si>
    <t>2022_0221_330 (Image 2)</t>
  </si>
  <si>
    <t>2022_0221_331 (Image 2)</t>
  </si>
  <si>
    <t>2022_0221_332 (Image 2)</t>
  </si>
  <si>
    <t>2022_0221_333 (Image 2)</t>
  </si>
  <si>
    <t>2022_0221_334 (Image 2)</t>
  </si>
  <si>
    <t>2022_0221_335 (Image 2)</t>
  </si>
  <si>
    <t>2022_0221_336 (Image 2)</t>
  </si>
  <si>
    <t>2022_0221_337 (Image 2)</t>
  </si>
  <si>
    <t>2022_0221_338 (Image 2)</t>
  </si>
  <si>
    <t>2022_0221_339 (Image 2)</t>
  </si>
  <si>
    <t>2022_0221_340 (Image 2)</t>
  </si>
  <si>
    <t>2022_0221_341 (Image 2)</t>
  </si>
  <si>
    <t>2022_0221_342 (Image 2)</t>
  </si>
  <si>
    <t>2022_0221_343 (Image 2)</t>
  </si>
  <si>
    <t>2022_0221_344 (Image 2)</t>
  </si>
  <si>
    <t>2022_0221_345 (Image 2)</t>
  </si>
  <si>
    <t>2022_0221_346 (Image 2)</t>
  </si>
  <si>
    <t>2022_0221_347 (Image 2)</t>
  </si>
  <si>
    <t>2022_0221_348 (Image 2)</t>
  </si>
  <si>
    <t>2022_0221_349 (Image 2)</t>
  </si>
  <si>
    <t>2022_0221_350 (Image 2)</t>
  </si>
  <si>
    <t>2022_0221_351 (Image 2)</t>
  </si>
  <si>
    <t>2022_0221_352 (Image 2)</t>
  </si>
  <si>
    <t>2022_0221_353 (Image 2)</t>
  </si>
  <si>
    <t>2022_0221_354 (Image 2)</t>
  </si>
  <si>
    <t>2022_0221_355 (Image 2)</t>
  </si>
  <si>
    <t>2022_0221_356 (Image 2)</t>
  </si>
  <si>
    <t>2022_0221_357 (Image 2)</t>
  </si>
  <si>
    <t>2022_0221_358 (Image 2)</t>
  </si>
  <si>
    <t>2022_0221_359 (Image 2)</t>
  </si>
  <si>
    <t>2022_0221_360 (Image 2)</t>
  </si>
  <si>
    <t>2022_0221_361 (Image 2)</t>
  </si>
  <si>
    <t>2022_0221_362 (Image 2)</t>
  </si>
  <si>
    <t>2022_0221_363 (Image 2)</t>
  </si>
  <si>
    <t>2022_0221_364 (Image 2)</t>
  </si>
  <si>
    <t>2022_0221_365 (Image 2)</t>
  </si>
  <si>
    <t>2022_0221_366 (Image 2)</t>
  </si>
  <si>
    <t>2022_0221_367 (Image 2)</t>
  </si>
  <si>
    <t>2022_0221_368 (Image 2)</t>
  </si>
  <si>
    <t>2022_0221_369 (Image 2)</t>
  </si>
  <si>
    <t>2022_0221_370 (Image 2)</t>
  </si>
  <si>
    <t>2022_0221_371 (Image 2)</t>
  </si>
  <si>
    <t>2022_0221_372 (Image 2)</t>
  </si>
  <si>
    <t>2022_0221_373 (Image 2)</t>
  </si>
  <si>
    <t>2022_0221_374 (Image 2)</t>
  </si>
  <si>
    <t>2022_0221_375 (Image 2)</t>
  </si>
  <si>
    <t>2022_0221_376 (Image 2)</t>
  </si>
  <si>
    <t>2022_0221_377 (Image 2)</t>
  </si>
  <si>
    <t>2022_0221_378 (Image 2)</t>
  </si>
  <si>
    <t>2022_0221_379 (Image 2)</t>
  </si>
  <si>
    <t>2022_0221_380 (Image 2)</t>
  </si>
  <si>
    <t>2022_0221_381 (Image 2)</t>
  </si>
  <si>
    <t>2022_0221_382 (Image 2)</t>
  </si>
  <si>
    <t>2022_0221_383 (Image 2)</t>
  </si>
  <si>
    <t>2022_0221_384 (Image 2)</t>
  </si>
  <si>
    <t>2022_0221_385 (Image 2)</t>
  </si>
  <si>
    <t>2022_0221_386 (Image 2)</t>
  </si>
  <si>
    <t>2022_0221_387 (Image 2)</t>
  </si>
  <si>
    <t>2022_0221_388 (Image 2)</t>
  </si>
  <si>
    <t>2022_0221_389 (Image 2)</t>
  </si>
  <si>
    <t>2022_0221_390 (Image 2)</t>
  </si>
  <si>
    <t>2022_0221_391 (Image 2)</t>
  </si>
  <si>
    <t>2022_0221_392 (Image 2)</t>
  </si>
  <si>
    <t>2022_0221_393 (Image 2)</t>
  </si>
  <si>
    <t>2022_0221_394 (Image 2)</t>
  </si>
  <si>
    <t>2022_0221_395 (Image 2)</t>
  </si>
  <si>
    <t>2022_0221_396 (Image 2)</t>
  </si>
  <si>
    <t>2022_0221_397 (Image 2)</t>
  </si>
  <si>
    <t>2022_0221_398 (Image 2)</t>
  </si>
  <si>
    <t>2022_0221_399 (Image 2)</t>
  </si>
  <si>
    <t>2022_0221_400 (Image 2)</t>
  </si>
  <si>
    <t>Area investigated</t>
  </si>
  <si>
    <t>Note</t>
  </si>
  <si>
    <t>2022_0221_401 (Image 2)</t>
  </si>
  <si>
    <t>2022_0221_402 (Image 2)</t>
  </si>
  <si>
    <t>2022_0221_403 (Image 2)</t>
  </si>
  <si>
    <t>2022_0221_404 (Image 2)</t>
  </si>
  <si>
    <t>2022_0221_405 (Image 2)</t>
  </si>
  <si>
    <t>2022_0221_406 (Image 2)</t>
  </si>
  <si>
    <t>2022_0221_407 (Image 2)</t>
  </si>
  <si>
    <t>2022_0221_408 (Image 2)</t>
  </si>
  <si>
    <t>2022_0221_409 (Image 2)</t>
  </si>
  <si>
    <t>2022_0221_410 (Image 2)</t>
  </si>
  <si>
    <t>2022_0221_411 (Image 2)</t>
  </si>
  <si>
    <t>2022_0221_412 (Image 2)</t>
  </si>
  <si>
    <t>2022_0221_413 (Image 2)</t>
  </si>
  <si>
    <t>2022_0221_414 (Image 2)</t>
  </si>
  <si>
    <t>2022_0221_415 (Image 2)</t>
  </si>
  <si>
    <t>2022_0221_416 (Image 2)</t>
  </si>
  <si>
    <t>2022_0221_417 (Image 2)</t>
  </si>
  <si>
    <t>2022_0221_418 (Image 2)</t>
  </si>
  <si>
    <t>2022_0221_419 (Image 2)</t>
  </si>
  <si>
    <t>2022_0221_420 (Image 2)</t>
  </si>
  <si>
    <t>2022_0221_421 (Image 2)</t>
  </si>
  <si>
    <t>2022_0221_422 (Image 2)</t>
  </si>
  <si>
    <t>2022_0221_423 (Image 2)</t>
  </si>
  <si>
    <t>2022_0221_424 (Image 2)</t>
  </si>
  <si>
    <t>2022_0221_425 (Image 2)</t>
  </si>
  <si>
    <t>2022_0221_426 (Image 2)</t>
  </si>
  <si>
    <t>2022_0221_427 (Image 2)</t>
  </si>
  <si>
    <t>2022_0221_428 (Image 2)</t>
  </si>
  <si>
    <t>2022_0221_429 (Image 2)</t>
  </si>
  <si>
    <t>2022_0221_430 (Image 2)</t>
  </si>
  <si>
    <t>2022_0221_431 (Image 2)</t>
  </si>
  <si>
    <t>2022_0221_432 (Image 2)</t>
  </si>
  <si>
    <t>2022_0221_433 (Image 2)</t>
  </si>
  <si>
    <t>2022_0221_434 (Image 2)</t>
  </si>
  <si>
    <t>2022_0221_435 (Image 2)</t>
  </si>
  <si>
    <t>2022_0221_436 (Image 2)</t>
  </si>
  <si>
    <t>2022_0221_437 (Image 2)</t>
  </si>
  <si>
    <t>2022_0221_438 (Image 2)</t>
  </si>
  <si>
    <t>2022_0221_439 (Image 2)</t>
  </si>
  <si>
    <t>2022_0221_440 (Image 2)</t>
  </si>
  <si>
    <t>2022_0221_441 (Image 2)</t>
  </si>
  <si>
    <t>2022_0221_442 (Image 2)</t>
  </si>
  <si>
    <t>2022_0221_443 (Image 2)</t>
  </si>
  <si>
    <t>2022_0221_444 (Image 2)</t>
  </si>
  <si>
    <t>2022_0221_445 (Image 2)</t>
  </si>
  <si>
    <t>2022_0221_446 (Image 2)</t>
  </si>
  <si>
    <t>2022_0221_447 (Image 2)</t>
  </si>
  <si>
    <t>2022_0221_448 (Image 2)</t>
  </si>
  <si>
    <t>2022_0221_449 (Image 2)</t>
  </si>
  <si>
    <t>2022_0221_450 (Image 2)</t>
  </si>
  <si>
    <t>2022_0221_451 (Image 2)</t>
  </si>
  <si>
    <t>2022_0221_452 (Image 2)</t>
  </si>
  <si>
    <t>2022_0221_453 (Image 2)</t>
  </si>
  <si>
    <t>2022_0221_454 (Image 2)</t>
  </si>
  <si>
    <t>2022_0221_455 (Image 2)</t>
  </si>
  <si>
    <t>2022_0221_456 (Image 2)</t>
  </si>
  <si>
    <t>2022_0221_457 (Image 2)</t>
  </si>
  <si>
    <t>2022_0221_458 (Image 2)</t>
  </si>
  <si>
    <t>2022_0221_459 (Image 2)</t>
  </si>
  <si>
    <t>2022_0221_460 (Image 2)</t>
  </si>
  <si>
    <t>2022_0221_461 (Image 2)</t>
  </si>
  <si>
    <t>2022_0221_462 (Image 2)</t>
  </si>
  <si>
    <t>2022_0221_463 (Image 2)</t>
  </si>
  <si>
    <t>2022_0221_464 (Image 2)</t>
  </si>
  <si>
    <t>2022_0221_465 (Image 2)</t>
  </si>
  <si>
    <t>2022_0221_466 (Image 2)</t>
  </si>
  <si>
    <t>2022_0221_467 (Image 2)</t>
  </si>
  <si>
    <t>2022_0221_468 (Image 2)</t>
  </si>
  <si>
    <t>2022_0221_469 (Image 2)</t>
  </si>
  <si>
    <t>2022_0221_470 (Image 2)</t>
  </si>
  <si>
    <t>2022_0221_471 (Image 2)</t>
  </si>
  <si>
    <t>2022_0221_472 (Image 2)</t>
  </si>
  <si>
    <t>2022_0221_473 (Image 2)</t>
  </si>
  <si>
    <t>2022_0221_474 (Image 2)</t>
  </si>
  <si>
    <t>2022_0221_475 (Image 2)</t>
  </si>
  <si>
    <t>2022_0221_476 (Image 2)</t>
  </si>
  <si>
    <t>2022_0221_477 (Image 2)</t>
  </si>
  <si>
    <t>2022_0221_478 (Image 2)</t>
  </si>
  <si>
    <t>2022_0221_479 (Image 2)</t>
  </si>
  <si>
    <t>2022_0221_480 (Image 2)</t>
  </si>
  <si>
    <t>2022_0221_481 (Image 2)</t>
  </si>
  <si>
    <t>2022_0221_482 (Image 2)</t>
  </si>
  <si>
    <t>2022_0221_483 (Image 2)</t>
  </si>
  <si>
    <t>2022_0221_484 (Image 2)</t>
  </si>
  <si>
    <t>2022_0221_485 (Image 2)</t>
  </si>
  <si>
    <t>2022_0221_486 (Image 2)</t>
  </si>
  <si>
    <t>2022_0221_487 (Image 2)</t>
  </si>
  <si>
    <t>2022_0221_488 (Image 2)</t>
  </si>
  <si>
    <t>2022_0221_489 (Image 2)</t>
  </si>
  <si>
    <t>2022_0221_490 (Image 2)</t>
  </si>
  <si>
    <t>2022_0221_491 (Image 2)</t>
  </si>
  <si>
    <t>2022_0221_492 (Image 2)</t>
  </si>
  <si>
    <t>2022_0221_493 (Image 2)</t>
  </si>
  <si>
    <t>2022_0221_494 (Image 2)</t>
  </si>
  <si>
    <t>2022_0221_495 (Image 2)</t>
  </si>
  <si>
    <t>2022_0221_496 (Image 2)</t>
  </si>
  <si>
    <t>2022_0221_497 (Image 2)</t>
  </si>
  <si>
    <t>2022_0221_498 (Image 2)</t>
  </si>
  <si>
    <t>2022_0221_499 (Image 2)</t>
  </si>
  <si>
    <t>2022_0221_500 (Image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</si>
</sst>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0;[Red]0.00"/>
    <numFmt numFmtId="167" formatCode="0.0000;[Red]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2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52D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33" borderId="0" xfId="0" applyFill="1" applyAlignment="1">
      <alignment wrapText="1"/>
    </xf>
    <xf numFmtId="165" fontId="0" fillId="0" borderId="0" xfId="0" applyNumberFormat="1"/>
    <xf numFmtId="0" fontId="0" fillId="34" borderId="0" xfId="0" applyFill="1" applyAlignment="1">
      <alignment wrapText="1"/>
    </xf>
    <xf numFmtId="0" fontId="18" fillId="0" borderId="0" xfId="0" applyFont="1"/>
    <xf numFmtId="166" fontId="0" fillId="0" borderId="0" xfId="0" applyNumberFormat="1"/>
    <xf numFmtId="167" fontId="0" fillId="0" borderId="0" xfId="0" applyNumberFormat="1"/>
    <xf numFmtId="2" fontId="18" fillId="0" borderId="0" xfId="0" applyNumberFormat="1" applyFont="1"/>
    <xf numFmtId="165" fontId="0" fillId="35" borderId="0" xfId="0" applyNumberFormat="1" applyFill="1"/>
    <xf numFmtId="0" fontId="0" fillId="35" borderId="0" xfId="0" applyFill="1"/>
    <xf numFmtId="0" fontId="0" fillId="36" borderId="0" xfId="0" applyFill="1"/>
    <xf numFmtId="2" fontId="0" fillId="36" borderId="0" xfId="0" applyNumberFormat="1" applyFill="1"/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B8A7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552D"/>
      <color rgb="FFFFFFCC"/>
      <color rgb="FFFFB8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6DF4-6E93-4A1F-BE5F-5B8420B2F39B}">
  <dimension ref="A1:U1791"/>
  <sheetViews>
    <sheetView tabSelected="1" topLeftCell="D1" zoomScale="80" zoomScaleNormal="80" workbookViewId="0">
      <pane ySplit="2" topLeftCell="A387" activePane="bottomLeft" state="frozen"/>
      <selection pane="bottomLeft" activeCell="P10" sqref="G10:P10"/>
    </sheetView>
  </sheetViews>
  <sheetFormatPr defaultColWidth="8.85546875" defaultRowHeight="15" x14ac:dyDescent="0.25"/>
  <cols>
    <col min="1" max="1" width="25.28515625" customWidth="1"/>
    <col min="2" max="2" width="17.140625" customWidth="1"/>
    <col min="3" max="3" width="19.28515625" customWidth="1"/>
    <col min="4" max="4" width="15.140625" customWidth="1"/>
    <col min="5" max="5" width="17.28515625" customWidth="1"/>
    <col min="6" max="6" width="17.5703125" customWidth="1"/>
    <col min="7" max="7" width="16.5703125" customWidth="1"/>
    <col min="8" max="8" width="18" customWidth="1"/>
    <col min="9" max="9" width="78.7109375" customWidth="1"/>
    <col min="10" max="10" width="6" customWidth="1"/>
    <col min="11" max="11" width="14.7109375" customWidth="1"/>
    <col min="12" max="12" width="15.85546875" customWidth="1"/>
    <col min="13" max="13" width="15.7109375" customWidth="1"/>
    <col min="14" max="14" width="13.7109375" customWidth="1"/>
    <col min="15" max="15" width="22.42578125" customWidth="1"/>
    <col min="16" max="16" width="18.28515625" customWidth="1"/>
    <col min="17" max="17" width="16.5703125" customWidth="1"/>
    <col min="18" max="18" width="33.28515625" customWidth="1"/>
    <col min="19" max="19" width="4.85546875" customWidth="1"/>
  </cols>
  <sheetData>
    <row r="1" spans="1:21" ht="31.5" x14ac:dyDescent="0.5">
      <c r="B1" s="15" t="s">
        <v>0</v>
      </c>
      <c r="C1" s="16"/>
      <c r="D1" s="16"/>
      <c r="E1" s="16"/>
      <c r="F1" s="16"/>
      <c r="G1" s="16"/>
      <c r="H1" s="16"/>
      <c r="I1" s="16"/>
      <c r="K1" s="17" t="s">
        <v>1</v>
      </c>
      <c r="L1" s="17"/>
      <c r="M1" s="17"/>
      <c r="N1" s="17"/>
      <c r="O1" s="17"/>
      <c r="P1" s="17"/>
      <c r="Q1" s="17"/>
      <c r="R1" s="17"/>
    </row>
    <row r="2" spans="1:21" s="2" customFormat="1" ht="90" x14ac:dyDescent="0.25">
      <c r="A2" s="2" t="s">
        <v>2</v>
      </c>
      <c r="B2" s="4" t="s">
        <v>3</v>
      </c>
      <c r="C2" s="4" t="s">
        <v>10</v>
      </c>
      <c r="D2" s="4" t="s">
        <v>5</v>
      </c>
      <c r="E2" s="4" t="s">
        <v>6</v>
      </c>
      <c r="F2" s="4" t="s">
        <v>420</v>
      </c>
      <c r="G2" s="4" t="s">
        <v>9</v>
      </c>
      <c r="H2" s="4" t="s">
        <v>8</v>
      </c>
      <c r="I2" s="4" t="s">
        <v>421</v>
      </c>
      <c r="K2" s="6" t="s">
        <v>3</v>
      </c>
      <c r="L2" s="6" t="s">
        <v>4</v>
      </c>
      <c r="M2" s="6" t="s">
        <v>5</v>
      </c>
      <c r="N2" s="6" t="s">
        <v>6</v>
      </c>
      <c r="O2" s="6" t="s">
        <v>420</v>
      </c>
      <c r="P2" s="6" t="s">
        <v>7</v>
      </c>
      <c r="Q2" s="6" t="s">
        <v>8</v>
      </c>
      <c r="R2" s="6" t="s">
        <v>421</v>
      </c>
      <c r="T2" s="2" t="s">
        <v>111</v>
      </c>
      <c r="U2" s="2" t="s">
        <v>113</v>
      </c>
    </row>
    <row r="3" spans="1:21" x14ac:dyDescent="0.25">
      <c r="A3" t="s">
        <v>11</v>
      </c>
      <c r="B3">
        <v>1908030.6007721</v>
      </c>
      <c r="C3">
        <v>1626.46922195155</v>
      </c>
      <c r="D3">
        <v>761586.01402478502</v>
      </c>
      <c r="E3">
        <v>4152175.4998771101</v>
      </c>
      <c r="F3">
        <v>6823418.5838959496</v>
      </c>
      <c r="G3" s="1">
        <f>(C3/(C3+E3))*100</f>
        <v>3.9156157035197398E-2</v>
      </c>
      <c r="H3" s="3">
        <f>(C3/(C3+E3))</f>
        <v>3.9156157035197394E-4</v>
      </c>
      <c r="K3">
        <v>2066947.21155529</v>
      </c>
      <c r="L3">
        <v>2702.6841066782799</v>
      </c>
      <c r="M3">
        <v>1741507.6044266401</v>
      </c>
      <c r="N3">
        <v>23894748.435787998</v>
      </c>
      <c r="O3">
        <v>27705905.9358766</v>
      </c>
      <c r="P3" s="1">
        <f>(L3/(L3+N3))*100</f>
        <v>1.1309507834617098E-2</v>
      </c>
      <c r="Q3" s="3">
        <f>(L3/(L3+N3))</f>
        <v>1.1309507834617098E-4</v>
      </c>
      <c r="T3">
        <f>H3/Q3</f>
        <v>3.4622335125269479</v>
      </c>
    </row>
    <row r="4" spans="1:21" x14ac:dyDescent="0.25">
      <c r="A4" t="s">
        <v>12</v>
      </c>
      <c r="B4">
        <v>1901093.86370166</v>
      </c>
      <c r="C4">
        <v>127169.107940224</v>
      </c>
      <c r="D4">
        <v>265053.06229794701</v>
      </c>
      <c r="E4">
        <v>2577585.6102752802</v>
      </c>
      <c r="F4">
        <v>4870901.64421512</v>
      </c>
      <c r="G4" s="1">
        <f t="shared" ref="G4:G67" si="0">(C4/(C4+E4))*100</f>
        <v>4.7016872577682536</v>
      </c>
      <c r="H4" s="3">
        <f t="shared" ref="H4:H67" si="1">(C4/(C4+E4))</f>
        <v>4.7016872577682535E-2</v>
      </c>
      <c r="K4">
        <v>747823.64103243302</v>
      </c>
      <c r="L4">
        <v>2617.6730563097799</v>
      </c>
      <c r="M4">
        <v>188953.48025397901</v>
      </c>
      <c r="N4">
        <v>13882635.309891799</v>
      </c>
      <c r="O4">
        <v>14822030.1042345</v>
      </c>
      <c r="P4" s="1">
        <f t="shared" ref="P4:P67" si="2">(L4/(L4+N4))*100</f>
        <v>1.8852181227986507E-2</v>
      </c>
      <c r="Q4" s="3">
        <f t="shared" ref="Q4:Q67" si="3">(L4/(L4+N4))</f>
        <v>1.8852181227986507E-4</v>
      </c>
      <c r="T4">
        <f t="shared" ref="T4:T67" si="4">H4/Q4</f>
        <v>249.39752068521855</v>
      </c>
    </row>
    <row r="5" spans="1:21" x14ac:dyDescent="0.25">
      <c r="A5" t="s">
        <v>13</v>
      </c>
      <c r="B5">
        <v>4285250.1612132099</v>
      </c>
      <c r="C5">
        <v>15959.924902328101</v>
      </c>
      <c r="D5">
        <v>787436.87018863996</v>
      </c>
      <c r="E5">
        <v>5088499.9777736003</v>
      </c>
      <c r="F5">
        <v>10177146.934077701</v>
      </c>
      <c r="G5" s="1">
        <f t="shared" si="0"/>
        <v>0.3126662802064793</v>
      </c>
      <c r="H5" s="3">
        <f t="shared" si="1"/>
        <v>3.1266628020647932E-3</v>
      </c>
      <c r="I5" s="1"/>
      <c r="J5" s="1"/>
      <c r="K5">
        <v>1794870.2331781299</v>
      </c>
      <c r="L5">
        <v>61157.6451010288</v>
      </c>
      <c r="M5">
        <v>454298.49101116002</v>
      </c>
      <c r="N5">
        <v>21425905.831663702</v>
      </c>
      <c r="O5">
        <v>23736232.200954001</v>
      </c>
      <c r="P5" s="1">
        <f t="shared" si="2"/>
        <v>0.28462542202270813</v>
      </c>
      <c r="Q5" s="3">
        <f t="shared" si="3"/>
        <v>2.8462542202270812E-3</v>
      </c>
      <c r="T5">
        <f t="shared" si="4"/>
        <v>1.0985184597514062</v>
      </c>
    </row>
    <row r="6" spans="1:21" x14ac:dyDescent="0.25">
      <c r="A6" t="s">
        <v>14</v>
      </c>
      <c r="B6">
        <v>5203331.3424746497</v>
      </c>
      <c r="C6">
        <v>21172.151429618301</v>
      </c>
      <c r="D6">
        <v>2201791.9966475102</v>
      </c>
      <c r="E6">
        <v>7359697.3524891501</v>
      </c>
      <c r="F6">
        <v>14785992.8430409</v>
      </c>
      <c r="G6" s="1">
        <f t="shared" si="0"/>
        <v>0.28685172415495552</v>
      </c>
      <c r="H6" s="3">
        <f t="shared" si="1"/>
        <v>2.8685172415495552E-3</v>
      </c>
      <c r="K6">
        <v>2050954.6903895801</v>
      </c>
      <c r="L6">
        <v>21421.164111377999</v>
      </c>
      <c r="M6">
        <v>811569.98543116404</v>
      </c>
      <c r="N6">
        <v>16333432.9586483</v>
      </c>
      <c r="O6">
        <v>19217378.798580401</v>
      </c>
      <c r="P6" s="1">
        <f t="shared" si="2"/>
        <v>0.13097740860658588</v>
      </c>
      <c r="Q6" s="3">
        <f t="shared" si="3"/>
        <v>1.3097740860658587E-3</v>
      </c>
      <c r="T6">
        <f t="shared" si="4"/>
        <v>2.190085505635297</v>
      </c>
    </row>
    <row r="7" spans="1:21" x14ac:dyDescent="0.25">
      <c r="A7" t="s">
        <v>15</v>
      </c>
      <c r="B7">
        <v>7199970.0679273596</v>
      </c>
      <c r="C7">
        <v>16067.988810339901</v>
      </c>
      <c r="D7">
        <v>526960.30947161105</v>
      </c>
      <c r="E7">
        <v>6104357.4638059298</v>
      </c>
      <c r="F7">
        <v>13847355.830015199</v>
      </c>
      <c r="G7" s="1">
        <f t="shared" si="0"/>
        <v>0.26253058606361085</v>
      </c>
      <c r="H7" s="3">
        <f t="shared" si="1"/>
        <v>2.6253058606361085E-3</v>
      </c>
      <c r="K7">
        <v>1420457.3410098699</v>
      </c>
      <c r="L7">
        <v>322772.46678635897</v>
      </c>
      <c r="M7">
        <v>357789.70154780999</v>
      </c>
      <c r="N7">
        <v>18110129.611367099</v>
      </c>
      <c r="O7">
        <v>20211149.1207112</v>
      </c>
      <c r="P7" s="1">
        <f t="shared" si="2"/>
        <v>1.7510670073428456</v>
      </c>
      <c r="Q7" s="3">
        <f t="shared" si="3"/>
        <v>1.7510670073428457E-2</v>
      </c>
      <c r="T7">
        <f t="shared" si="4"/>
        <v>0.14992606505789149</v>
      </c>
      <c r="U7" t="s">
        <v>112</v>
      </c>
    </row>
    <row r="8" spans="1:21" x14ac:dyDescent="0.25">
      <c r="A8" t="s">
        <v>16</v>
      </c>
      <c r="B8">
        <v>4908301.5391918104</v>
      </c>
      <c r="C8">
        <v>6843.6741154563297</v>
      </c>
      <c r="D8">
        <v>1864661.89866264</v>
      </c>
      <c r="E8">
        <v>6161193.1479826299</v>
      </c>
      <c r="F8">
        <v>12941000.2599525</v>
      </c>
      <c r="G8" s="1">
        <f t="shared" si="0"/>
        <v>0.11095384662649309</v>
      </c>
      <c r="H8" s="3">
        <f t="shared" si="1"/>
        <v>1.1095384662649309E-3</v>
      </c>
      <c r="K8">
        <v>1195748.0231654299</v>
      </c>
      <c r="L8">
        <v>9490.5264224459097</v>
      </c>
      <c r="M8">
        <v>832234.01610269595</v>
      </c>
      <c r="N8">
        <v>17558184.486664701</v>
      </c>
      <c r="O8">
        <v>19595657.052355301</v>
      </c>
      <c r="P8" s="1">
        <f t="shared" si="2"/>
        <v>5.4022666148912053E-2</v>
      </c>
      <c r="Q8" s="3">
        <f t="shared" si="3"/>
        <v>5.4022666148912052E-4</v>
      </c>
      <c r="T8">
        <f t="shared" si="4"/>
        <v>2.053838777979816</v>
      </c>
    </row>
    <row r="9" spans="1:21" x14ac:dyDescent="0.25">
      <c r="A9" t="s">
        <v>17</v>
      </c>
      <c r="B9">
        <v>1918802.1004125499</v>
      </c>
      <c r="C9">
        <v>78857.060641636795</v>
      </c>
      <c r="D9">
        <v>421232.19138073799</v>
      </c>
      <c r="E9">
        <v>4926718.1251927</v>
      </c>
      <c r="F9">
        <v>7345609.4776276303</v>
      </c>
      <c r="G9" s="1">
        <f t="shared" si="0"/>
        <v>1.5753846004511223</v>
      </c>
      <c r="H9" s="3">
        <f t="shared" si="1"/>
        <v>1.5753846004511223E-2</v>
      </c>
      <c r="K9">
        <v>753644.35886743804</v>
      </c>
      <c r="L9">
        <v>64291.601929181801</v>
      </c>
      <c r="M9">
        <v>126508.497538551</v>
      </c>
      <c r="N9">
        <v>10417581.4526823</v>
      </c>
      <c r="O9">
        <v>11362025.9110175</v>
      </c>
      <c r="P9" s="1">
        <f t="shared" si="2"/>
        <v>0.61335986034382306</v>
      </c>
      <c r="Q9" s="3">
        <f t="shared" si="3"/>
        <v>6.1335986034382305E-3</v>
      </c>
      <c r="T9">
        <f t="shared" si="4"/>
        <v>2.5684507616263472</v>
      </c>
    </row>
    <row r="10" spans="1:21" x14ac:dyDescent="0.25">
      <c r="A10" t="s">
        <v>18</v>
      </c>
      <c r="B10">
        <v>7153887.8456740202</v>
      </c>
      <c r="C10">
        <v>183111.656939131</v>
      </c>
      <c r="D10">
        <v>1274345.2345747501</v>
      </c>
      <c r="E10">
        <v>8745513.8952289503</v>
      </c>
      <c r="F10">
        <v>17356858.6324168</v>
      </c>
      <c r="G10" s="1">
        <f t="shared" si="0"/>
        <v>2.0508381258598889</v>
      </c>
      <c r="H10" s="3">
        <f t="shared" si="1"/>
        <v>2.0508381258598888E-2</v>
      </c>
      <c r="K10">
        <v>1662266.64876615</v>
      </c>
      <c r="L10">
        <v>2273517.0631910502</v>
      </c>
      <c r="M10">
        <v>164323.96631923399</v>
      </c>
      <c r="N10">
        <v>19114685.3523711</v>
      </c>
      <c r="O10">
        <v>23214793.030647598</v>
      </c>
      <c r="P10" s="1">
        <f t="shared" si="2"/>
        <v>10.629771586306052</v>
      </c>
      <c r="Q10" s="3">
        <f t="shared" si="3"/>
        <v>0.10629771586306053</v>
      </c>
      <c r="T10">
        <f t="shared" si="4"/>
        <v>0.19293341434560163</v>
      </c>
      <c r="U10" t="s">
        <v>112</v>
      </c>
    </row>
    <row r="11" spans="1:21" x14ac:dyDescent="0.25">
      <c r="A11" t="s">
        <v>19</v>
      </c>
      <c r="B11">
        <v>4707526.5847860305</v>
      </c>
      <c r="C11">
        <v>15171.6788766135</v>
      </c>
      <c r="D11">
        <v>493395.38706943701</v>
      </c>
      <c r="E11">
        <v>4533459.2042401005</v>
      </c>
      <c r="F11">
        <v>9749552.85497218</v>
      </c>
      <c r="G11" s="1">
        <f t="shared" si="0"/>
        <v>0.33354385674438131</v>
      </c>
      <c r="H11" s="3">
        <f t="shared" si="1"/>
        <v>3.3354385674438133E-3</v>
      </c>
      <c r="I11" s="1"/>
      <c r="J11" s="1"/>
      <c r="K11">
        <v>2320576.91507127</v>
      </c>
      <c r="L11">
        <v>17824.596944389599</v>
      </c>
      <c r="M11">
        <v>483819.85908029799</v>
      </c>
      <c r="N11">
        <v>22103015.246418901</v>
      </c>
      <c r="O11">
        <v>24925236.617514901</v>
      </c>
      <c r="P11" s="1">
        <f t="shared" si="2"/>
        <v>8.0578301143197098E-2</v>
      </c>
      <c r="Q11" s="3">
        <f t="shared" si="3"/>
        <v>8.0578301143197095E-4</v>
      </c>
      <c r="R11" s="1"/>
      <c r="T11">
        <f t="shared" si="4"/>
        <v>4.1393756385063858</v>
      </c>
    </row>
    <row r="12" spans="1:21" x14ac:dyDescent="0.25">
      <c r="A12" t="s">
        <v>20</v>
      </c>
      <c r="B12">
        <v>1182745.2261532501</v>
      </c>
      <c r="C12">
        <v>4915.8569685141301</v>
      </c>
      <c r="D12">
        <v>186654.37242642799</v>
      </c>
      <c r="E12">
        <v>3812561.0768653499</v>
      </c>
      <c r="F12">
        <v>5186876.5324135497</v>
      </c>
      <c r="G12" s="1">
        <f t="shared" si="0"/>
        <v>0.12877240789447733</v>
      </c>
      <c r="H12" s="3">
        <f t="shared" si="1"/>
        <v>1.2877240789447733E-3</v>
      </c>
      <c r="K12">
        <v>1461872.8565870901</v>
      </c>
      <c r="L12">
        <v>3404.7805986521098</v>
      </c>
      <c r="M12">
        <v>138438.40343502699</v>
      </c>
      <c r="N12">
        <v>16386208.115421301</v>
      </c>
      <c r="O12">
        <v>17989924.156042099</v>
      </c>
      <c r="P12" s="1">
        <f t="shared" si="2"/>
        <v>2.0774014738804025E-2</v>
      </c>
      <c r="Q12" s="3">
        <f t="shared" si="3"/>
        <v>2.0774014738804024E-4</v>
      </c>
      <c r="T12">
        <f t="shared" si="4"/>
        <v>6.1987251628324813</v>
      </c>
    </row>
    <row r="13" spans="1:21" x14ac:dyDescent="0.25">
      <c r="A13" t="s">
        <v>21</v>
      </c>
      <c r="B13">
        <v>3227129.8169234698</v>
      </c>
      <c r="C13">
        <v>489217.64877670002</v>
      </c>
      <c r="D13">
        <v>1031956.55498117</v>
      </c>
      <c r="E13">
        <v>9798207.9371150304</v>
      </c>
      <c r="F13">
        <v>14546511.9577963</v>
      </c>
      <c r="G13" s="1">
        <f t="shared" si="0"/>
        <v>4.7554914948557929</v>
      </c>
      <c r="H13" s="3">
        <f t="shared" si="1"/>
        <v>4.755491494855793E-2</v>
      </c>
      <c r="K13">
        <v>1765589.2821903999</v>
      </c>
      <c r="L13">
        <v>77024.646138202996</v>
      </c>
      <c r="M13">
        <v>616044.11587406101</v>
      </c>
      <c r="N13">
        <v>17613127.805472199</v>
      </c>
      <c r="O13">
        <v>20071785.849674799</v>
      </c>
      <c r="P13" s="1">
        <f t="shared" si="2"/>
        <v>0.43540973628630969</v>
      </c>
      <c r="Q13" s="3">
        <f t="shared" si="3"/>
        <v>4.3540973628630967E-3</v>
      </c>
      <c r="T13">
        <f t="shared" si="4"/>
        <v>10.921876794525224</v>
      </c>
    </row>
    <row r="14" spans="1:21" x14ac:dyDescent="0.25">
      <c r="A14" t="s">
        <v>22</v>
      </c>
      <c r="B14">
        <v>2495586.8704046002</v>
      </c>
      <c r="C14">
        <v>18820.5273956038</v>
      </c>
      <c r="D14">
        <v>477564.50550010498</v>
      </c>
      <c r="E14">
        <v>5231738.5625506798</v>
      </c>
      <c r="F14">
        <v>8223710.4658509996</v>
      </c>
      <c r="G14" s="1">
        <f t="shared" si="0"/>
        <v>0.35844806378126759</v>
      </c>
      <c r="H14" s="3">
        <f t="shared" si="1"/>
        <v>3.5844806378126761E-3</v>
      </c>
      <c r="K14">
        <v>610208.28832394304</v>
      </c>
      <c r="L14">
        <v>382.62980054312698</v>
      </c>
      <c r="M14">
        <v>179905.24402870101</v>
      </c>
      <c r="N14">
        <v>6642216.47136168</v>
      </c>
      <c r="O14">
        <v>7432712.63351487</v>
      </c>
      <c r="P14" s="1">
        <f t="shared" si="2"/>
        <v>5.7602422593315931E-3</v>
      </c>
      <c r="Q14" s="3">
        <f t="shared" si="3"/>
        <v>5.7602422593315933E-5</v>
      </c>
      <c r="T14">
        <f t="shared" si="4"/>
        <v>62.227949388861497</v>
      </c>
    </row>
    <row r="15" spans="1:21" x14ac:dyDescent="0.25">
      <c r="A15" t="s">
        <v>23</v>
      </c>
      <c r="B15">
        <v>5274344.9334666496</v>
      </c>
      <c r="C15">
        <v>12047.402255714</v>
      </c>
      <c r="D15">
        <v>1332502.4527599399</v>
      </c>
      <c r="E15">
        <v>3829935.74269378</v>
      </c>
      <c r="F15">
        <v>10448830.5311761</v>
      </c>
      <c r="G15" s="1">
        <f t="shared" si="0"/>
        <v>0.31357249111181024</v>
      </c>
      <c r="H15" s="3">
        <f t="shared" si="1"/>
        <v>3.1357249111181023E-3</v>
      </c>
      <c r="K15">
        <v>2283647.1687800302</v>
      </c>
      <c r="L15">
        <v>35379.374682388203</v>
      </c>
      <c r="M15">
        <v>853033.33467364404</v>
      </c>
      <c r="N15">
        <v>23624943.676447399</v>
      </c>
      <c r="O15">
        <v>26797003.554583501</v>
      </c>
      <c r="P15" s="1">
        <f t="shared" si="2"/>
        <v>0.14953039570057275</v>
      </c>
      <c r="Q15" s="3">
        <f t="shared" si="3"/>
        <v>1.4953039570057276E-3</v>
      </c>
      <c r="T15">
        <f t="shared" si="4"/>
        <v>2.0970484940046816</v>
      </c>
    </row>
    <row r="16" spans="1:21" x14ac:dyDescent="0.25">
      <c r="A16" t="s">
        <v>24</v>
      </c>
      <c r="B16">
        <v>1379542.27363856</v>
      </c>
      <c r="C16">
        <v>135075.754900587</v>
      </c>
      <c r="D16">
        <v>483619.08598272601</v>
      </c>
      <c r="E16">
        <v>5198453.0025733896</v>
      </c>
      <c r="F16">
        <v>7196690.1170952702</v>
      </c>
      <c r="G16" s="1">
        <f t="shared" si="0"/>
        <v>2.5325776056105958</v>
      </c>
      <c r="H16" s="3">
        <f t="shared" si="1"/>
        <v>2.5325776056105958E-2</v>
      </c>
      <c r="K16">
        <v>1600367.2822841399</v>
      </c>
      <c r="L16">
        <v>38790.201140235898</v>
      </c>
      <c r="M16">
        <v>451319.02214731497</v>
      </c>
      <c r="N16">
        <v>13905869.252283299</v>
      </c>
      <c r="O16">
        <v>15996345.757855</v>
      </c>
      <c r="P16" s="1">
        <f t="shared" si="2"/>
        <v>0.27817245211185537</v>
      </c>
      <c r="Q16" s="3">
        <f t="shared" si="3"/>
        <v>2.7817245211185539E-3</v>
      </c>
      <c r="T16">
        <f t="shared" si="4"/>
        <v>9.1043436773970203</v>
      </c>
    </row>
    <row r="17" spans="1:21" x14ac:dyDescent="0.25">
      <c r="A17" t="s">
        <v>25</v>
      </c>
      <c r="B17">
        <v>1275227.4463644</v>
      </c>
      <c r="C17">
        <v>106126.42999612501</v>
      </c>
      <c r="D17">
        <v>800208.75734754105</v>
      </c>
      <c r="E17">
        <v>1175787.8961211501</v>
      </c>
      <c r="F17">
        <v>3357350.5298292199</v>
      </c>
      <c r="G17" s="1">
        <f t="shared" si="0"/>
        <v>8.278745921934263</v>
      </c>
      <c r="H17" s="3">
        <f t="shared" si="1"/>
        <v>8.2787459219342635E-2</v>
      </c>
      <c r="K17">
        <v>2214432.20066769</v>
      </c>
      <c r="L17">
        <v>143088.29448298001</v>
      </c>
      <c r="M17">
        <v>507227.46349954698</v>
      </c>
      <c r="N17">
        <v>15951569.2635107</v>
      </c>
      <c r="O17">
        <v>18816317.222160999</v>
      </c>
      <c r="P17" s="1">
        <f t="shared" si="2"/>
        <v>0.88904218040919314</v>
      </c>
      <c r="Q17" s="3">
        <f t="shared" si="3"/>
        <v>8.890421804091931E-3</v>
      </c>
      <c r="T17">
        <f t="shared" si="4"/>
        <v>9.3119832830922196</v>
      </c>
    </row>
    <row r="18" spans="1:21" x14ac:dyDescent="0.25">
      <c r="A18" t="s">
        <v>26</v>
      </c>
      <c r="B18">
        <v>3838797.3654291499</v>
      </c>
      <c r="C18">
        <v>20254.134174606399</v>
      </c>
      <c r="D18">
        <v>525387.91610895703</v>
      </c>
      <c r="E18">
        <v>5608324.0797180301</v>
      </c>
      <c r="F18">
        <v>9992763.4954307508</v>
      </c>
      <c r="G18" s="1">
        <f t="shared" si="0"/>
        <v>0.3598445896090508</v>
      </c>
      <c r="H18" s="3">
        <f t="shared" si="1"/>
        <v>3.5984458960905078E-3</v>
      </c>
      <c r="K18">
        <v>2803357.2921145801</v>
      </c>
      <c r="L18">
        <v>24395.0927569042</v>
      </c>
      <c r="M18">
        <v>1054096.8591360699</v>
      </c>
      <c r="N18">
        <v>17294739.6353085</v>
      </c>
      <c r="O18">
        <v>21176588.879316099</v>
      </c>
      <c r="P18" s="1">
        <f t="shared" si="2"/>
        <v>0.14085630223415438</v>
      </c>
      <c r="Q18" s="3">
        <f t="shared" si="3"/>
        <v>1.4085630223415438E-3</v>
      </c>
      <c r="T18">
        <f t="shared" si="4"/>
        <v>2.554692860038724</v>
      </c>
    </row>
    <row r="19" spans="1:21" x14ac:dyDescent="0.25">
      <c r="A19" t="s">
        <v>27</v>
      </c>
      <c r="B19">
        <v>4819212.7555316901</v>
      </c>
      <c r="C19">
        <v>25105.595889513301</v>
      </c>
      <c r="D19">
        <v>1030929.20260351</v>
      </c>
      <c r="E19">
        <v>4883005.6033800403</v>
      </c>
      <c r="F19">
        <v>10758253.1574047</v>
      </c>
      <c r="G19" s="1">
        <f t="shared" si="0"/>
        <v>0.51151236942735989</v>
      </c>
      <c r="H19" s="3">
        <f t="shared" si="1"/>
        <v>5.1151236942735987E-3</v>
      </c>
      <c r="I19" s="1"/>
      <c r="J19" s="1"/>
      <c r="K19">
        <v>1629474.40114066</v>
      </c>
      <c r="L19">
        <v>1038.57579279726</v>
      </c>
      <c r="M19">
        <v>904044.39372839697</v>
      </c>
      <c r="N19">
        <v>18406128.512782</v>
      </c>
      <c r="O19">
        <v>20940685.883443799</v>
      </c>
      <c r="P19" s="1">
        <f t="shared" si="2"/>
        <v>5.6422359171276115E-3</v>
      </c>
      <c r="Q19" s="3">
        <f t="shared" si="3"/>
        <v>5.6422359171276111E-5</v>
      </c>
      <c r="T19">
        <f t="shared" si="4"/>
        <v>90.657742239137733</v>
      </c>
    </row>
    <row r="20" spans="1:21" x14ac:dyDescent="0.25">
      <c r="A20" t="s">
        <v>28</v>
      </c>
      <c r="B20">
        <v>3995754.40017875</v>
      </c>
      <c r="C20">
        <v>253969.592171061</v>
      </c>
      <c r="D20">
        <v>1967281.0298198799</v>
      </c>
      <c r="E20">
        <v>6440570.3685949603</v>
      </c>
      <c r="F20">
        <v>12657575.3907646</v>
      </c>
      <c r="G20" s="1">
        <f t="shared" si="0"/>
        <v>3.7936825182831617</v>
      </c>
      <c r="H20" s="3">
        <f t="shared" si="1"/>
        <v>3.7936825182831618E-2</v>
      </c>
      <c r="I20" s="1"/>
      <c r="J20" s="1"/>
      <c r="K20">
        <v>939455.96689233102</v>
      </c>
      <c r="L20">
        <v>725.18316860752304</v>
      </c>
      <c r="M20">
        <v>639770.68200678995</v>
      </c>
      <c r="N20">
        <v>13760923.968474399</v>
      </c>
      <c r="O20">
        <v>15340875.8005422</v>
      </c>
      <c r="P20" s="1">
        <f t="shared" si="2"/>
        <v>5.2695949490976762E-3</v>
      </c>
      <c r="Q20" s="3">
        <f t="shared" si="3"/>
        <v>5.2695949490976758E-5</v>
      </c>
      <c r="T20">
        <f t="shared" si="4"/>
        <v>719.91918827323957</v>
      </c>
    </row>
    <row r="21" spans="1:21" x14ac:dyDescent="0.25">
      <c r="A21" t="s">
        <v>29</v>
      </c>
      <c r="B21">
        <v>3828829.3825269798</v>
      </c>
      <c r="C21">
        <v>11646.588656350699</v>
      </c>
      <c r="D21">
        <v>2377155.2317357599</v>
      </c>
      <c r="E21">
        <v>7026951.28817965</v>
      </c>
      <c r="F21">
        <v>13244582.4910987</v>
      </c>
      <c r="G21" s="1">
        <f t="shared" si="0"/>
        <v>0.16546745332162785</v>
      </c>
      <c r="H21" s="3">
        <f t="shared" si="1"/>
        <v>1.6546745332162785E-3</v>
      </c>
      <c r="K21">
        <v>1550628.8544104199</v>
      </c>
      <c r="L21">
        <v>3103.57050656821</v>
      </c>
      <c r="M21">
        <v>599451.91025807697</v>
      </c>
      <c r="N21">
        <v>12876933.893301999</v>
      </c>
      <c r="O21">
        <v>15030118.2284771</v>
      </c>
      <c r="P21" s="1">
        <f t="shared" si="2"/>
        <v>2.4095974218156496E-2</v>
      </c>
      <c r="Q21" s="3">
        <f t="shared" si="3"/>
        <v>2.4095974218156494E-4</v>
      </c>
      <c r="T21">
        <f t="shared" si="4"/>
        <v>6.8670165324524168</v>
      </c>
    </row>
    <row r="22" spans="1:21" x14ac:dyDescent="0.25">
      <c r="A22" t="s">
        <v>30</v>
      </c>
      <c r="B22">
        <v>5982702.3640007405</v>
      </c>
      <c r="C22">
        <v>39021.038477681002</v>
      </c>
      <c r="D22">
        <v>1677860.9253227101</v>
      </c>
      <c r="E22">
        <v>11888285.823417</v>
      </c>
      <c r="F22">
        <v>19587870.151218101</v>
      </c>
      <c r="G22" s="1">
        <f t="shared" si="0"/>
        <v>0.32715716070276751</v>
      </c>
      <c r="H22" s="3">
        <f t="shared" si="1"/>
        <v>3.2715716070276751E-3</v>
      </c>
      <c r="K22">
        <v>2428912.6664765901</v>
      </c>
      <c r="L22">
        <v>4861.2313531216296</v>
      </c>
      <c r="M22">
        <v>1589959.1245059599</v>
      </c>
      <c r="N22">
        <v>23129630.6698093</v>
      </c>
      <c r="O22">
        <v>27153363.692144901</v>
      </c>
      <c r="P22" s="1">
        <f t="shared" si="2"/>
        <v>2.1012916012550814E-2</v>
      </c>
      <c r="Q22" s="3">
        <f t="shared" si="3"/>
        <v>2.1012916012550813E-4</v>
      </c>
      <c r="T22">
        <f t="shared" si="4"/>
        <v>15.56933652175451</v>
      </c>
    </row>
    <row r="23" spans="1:21" x14ac:dyDescent="0.25">
      <c r="A23" t="s">
        <v>31</v>
      </c>
      <c r="B23">
        <v>274654.26313218998</v>
      </c>
      <c r="C23">
        <v>8250.2686998860499</v>
      </c>
      <c r="D23">
        <v>27055.099345194601</v>
      </c>
      <c r="E23">
        <v>2340963.9407338998</v>
      </c>
      <c r="F23">
        <v>2650923.5719111701</v>
      </c>
      <c r="G23" s="1">
        <f t="shared" si="0"/>
        <v>0.35119269527467023</v>
      </c>
      <c r="H23" s="3">
        <f t="shared" si="1"/>
        <v>3.5119269527467026E-3</v>
      </c>
      <c r="K23">
        <v>420169.71350068902</v>
      </c>
      <c r="L23">
        <v>10275.180054819801</v>
      </c>
      <c r="M23">
        <v>44374.347154819901</v>
      </c>
      <c r="N23">
        <v>8583210.5283250697</v>
      </c>
      <c r="O23">
        <v>9058029.7690354008</v>
      </c>
      <c r="P23" s="1">
        <f t="shared" si="2"/>
        <v>0.11956940877669718</v>
      </c>
      <c r="Q23" s="3">
        <f t="shared" si="3"/>
        <v>1.1956940877669718E-3</v>
      </c>
      <c r="T23">
        <f t="shared" si="4"/>
        <v>2.9371450345676879</v>
      </c>
    </row>
    <row r="24" spans="1:21" x14ac:dyDescent="0.25">
      <c r="A24" t="s">
        <v>32</v>
      </c>
      <c r="B24">
        <v>1222727.13184843</v>
      </c>
      <c r="C24">
        <v>24866.181123567101</v>
      </c>
      <c r="D24">
        <v>176320.185676878</v>
      </c>
      <c r="E24">
        <v>3384358.7969126999</v>
      </c>
      <c r="F24">
        <v>4808272.2955615902</v>
      </c>
      <c r="G24" s="1">
        <f t="shared" si="0"/>
        <v>0.72937929540485069</v>
      </c>
      <c r="H24" s="3">
        <f t="shared" si="1"/>
        <v>7.2937929540485072E-3</v>
      </c>
      <c r="K24">
        <v>1499223.8578633801</v>
      </c>
      <c r="L24">
        <v>12547.8799768671</v>
      </c>
      <c r="M24">
        <v>160741.62220124199</v>
      </c>
      <c r="N24">
        <v>14119304.5547639</v>
      </c>
      <c r="O24">
        <v>15791817.914805399</v>
      </c>
      <c r="P24" s="1">
        <f t="shared" si="2"/>
        <v>8.879147326800739E-2</v>
      </c>
      <c r="Q24" s="3">
        <f t="shared" si="3"/>
        <v>8.879147326800739E-4</v>
      </c>
      <c r="T24">
        <f t="shared" si="4"/>
        <v>8.2145195767086641</v>
      </c>
    </row>
    <row r="25" spans="1:21" x14ac:dyDescent="0.25">
      <c r="A25" t="s">
        <v>33</v>
      </c>
      <c r="B25">
        <v>2871721.0654317401</v>
      </c>
      <c r="C25">
        <v>7062.2961827057597</v>
      </c>
      <c r="D25">
        <v>1022321.4268292</v>
      </c>
      <c r="E25">
        <v>7633460.2975110104</v>
      </c>
      <c r="F25">
        <v>11534565.085954599</v>
      </c>
      <c r="G25" s="1">
        <f t="shared" si="0"/>
        <v>9.2432109140476726E-2</v>
      </c>
      <c r="H25" s="3">
        <f t="shared" si="1"/>
        <v>9.243210914047673E-4</v>
      </c>
      <c r="I25" s="1"/>
      <c r="J25" s="1"/>
      <c r="K25">
        <v>6375636.6803277796</v>
      </c>
      <c r="L25">
        <v>13158.9017109135</v>
      </c>
      <c r="M25">
        <v>1895013.03453593</v>
      </c>
      <c r="N25">
        <v>24945080.837336998</v>
      </c>
      <c r="O25">
        <v>33228889.453911599</v>
      </c>
      <c r="P25" s="1">
        <f t="shared" si="2"/>
        <v>5.2723677024089186E-2</v>
      </c>
      <c r="Q25" s="3">
        <f t="shared" si="3"/>
        <v>5.2723677024089184E-4</v>
      </c>
      <c r="R25" s="1"/>
      <c r="T25">
        <f t="shared" si="4"/>
        <v>1.7531423139976554</v>
      </c>
    </row>
    <row r="26" spans="1:21" x14ac:dyDescent="0.25">
      <c r="A26" t="s">
        <v>34</v>
      </c>
      <c r="B26">
        <v>856027.47134543397</v>
      </c>
      <c r="C26">
        <v>740.96843510024405</v>
      </c>
      <c r="D26">
        <v>345720.08068719</v>
      </c>
      <c r="E26">
        <v>5308159.3929899503</v>
      </c>
      <c r="F26">
        <v>6510647.9134576796</v>
      </c>
      <c r="G26" s="1">
        <f t="shared" si="0"/>
        <v>1.3957098168279586E-2</v>
      </c>
      <c r="H26" s="3">
        <f t="shared" si="1"/>
        <v>1.3957098168279586E-4</v>
      </c>
      <c r="I26" s="1"/>
      <c r="J26" s="1"/>
      <c r="K26">
        <v>2220867.0347530302</v>
      </c>
      <c r="L26">
        <v>7008.83257463674</v>
      </c>
      <c r="M26">
        <v>353496.605148684</v>
      </c>
      <c r="N26">
        <v>15901751.0979522</v>
      </c>
      <c r="O26">
        <v>18483123.570428599</v>
      </c>
      <c r="P26" s="1">
        <f t="shared" si="2"/>
        <v>4.4056435606823784E-2</v>
      </c>
      <c r="Q26" s="3">
        <f t="shared" si="3"/>
        <v>4.4056435606823783E-4</v>
      </c>
      <c r="T26">
        <f t="shared" si="4"/>
        <v>0.31680043961881038</v>
      </c>
      <c r="U26" t="s">
        <v>112</v>
      </c>
    </row>
    <row r="27" spans="1:21" x14ac:dyDescent="0.25">
      <c r="A27" t="s">
        <v>35</v>
      </c>
      <c r="B27">
        <v>4353690.8862586804</v>
      </c>
      <c r="C27">
        <v>95789.323351589497</v>
      </c>
      <c r="D27">
        <v>1073846.4286847301</v>
      </c>
      <c r="E27">
        <v>5375610.4862497104</v>
      </c>
      <c r="F27">
        <v>10898937.124544701</v>
      </c>
      <c r="G27" s="1">
        <f t="shared" si="0"/>
        <v>1.7507279066592223</v>
      </c>
      <c r="H27" s="3">
        <f t="shared" si="1"/>
        <v>1.7507279066592222E-2</v>
      </c>
      <c r="I27" s="1"/>
      <c r="J27" s="1"/>
      <c r="K27">
        <v>3750669.6498156199</v>
      </c>
      <c r="L27">
        <v>2405.0883251898599</v>
      </c>
      <c r="M27">
        <v>535167.37839586998</v>
      </c>
      <c r="N27">
        <v>22473175.677850898</v>
      </c>
      <c r="O27">
        <v>26761417.794387501</v>
      </c>
      <c r="P27" s="1">
        <f t="shared" si="2"/>
        <v>1.0700895119067718E-2</v>
      </c>
      <c r="Q27" s="3">
        <f t="shared" si="3"/>
        <v>1.0700895119067717E-4</v>
      </c>
      <c r="T27">
        <f t="shared" si="4"/>
        <v>163.60574392880781</v>
      </c>
    </row>
    <row r="28" spans="1:21" x14ac:dyDescent="0.25">
      <c r="A28" t="s">
        <v>36</v>
      </c>
      <c r="B28">
        <v>3284636.5256527402</v>
      </c>
      <c r="C28">
        <v>3964.7723252548699</v>
      </c>
      <c r="D28">
        <v>1707965.3693049401</v>
      </c>
      <c r="E28">
        <v>4133527.8061381401</v>
      </c>
      <c r="F28">
        <v>9130094.4734210894</v>
      </c>
      <c r="G28" s="1">
        <f t="shared" si="0"/>
        <v>9.5825484881650935E-2</v>
      </c>
      <c r="H28" s="3">
        <f t="shared" si="1"/>
        <v>9.5825484881650934E-4</v>
      </c>
      <c r="K28">
        <v>1291592.60800637</v>
      </c>
      <c r="L28">
        <v>2154.8731939344798</v>
      </c>
      <c r="M28">
        <v>299629.40853879199</v>
      </c>
      <c r="N28">
        <v>10778324.668510601</v>
      </c>
      <c r="O28">
        <v>12371701.558249701</v>
      </c>
      <c r="P28" s="1">
        <f t="shared" si="2"/>
        <v>1.9988658070341888E-2</v>
      </c>
      <c r="Q28" s="3">
        <f t="shared" si="3"/>
        <v>1.9988658070341887E-4</v>
      </c>
      <c r="T28">
        <f t="shared" si="4"/>
        <v>4.7939929005955495</v>
      </c>
    </row>
    <row r="29" spans="1:21" x14ac:dyDescent="0.25">
      <c r="A29" t="s">
        <v>37</v>
      </c>
      <c r="B29">
        <v>1226852.3420728799</v>
      </c>
      <c r="C29">
        <v>8512.6630949602604</v>
      </c>
      <c r="D29">
        <v>137872.830945672</v>
      </c>
      <c r="E29">
        <v>4300318.4989633895</v>
      </c>
      <c r="F29">
        <v>5673556.3350769104</v>
      </c>
      <c r="G29" s="1">
        <f t="shared" si="0"/>
        <v>0.19756316213823799</v>
      </c>
      <c r="H29" s="3">
        <f t="shared" si="1"/>
        <v>1.9756316213823798E-3</v>
      </c>
      <c r="K29">
        <v>1516891.4552539501</v>
      </c>
      <c r="L29">
        <v>53445.870935381899</v>
      </c>
      <c r="M29">
        <v>510773.14746902598</v>
      </c>
      <c r="N29">
        <v>19915156.663490999</v>
      </c>
      <c r="O29">
        <v>21996267.1371493</v>
      </c>
      <c r="P29" s="1">
        <f t="shared" si="2"/>
        <v>0.26764953052292895</v>
      </c>
      <c r="Q29" s="3">
        <f t="shared" si="3"/>
        <v>2.6764953052292894E-3</v>
      </c>
      <c r="T29">
        <f t="shared" si="4"/>
        <v>0.73814126164257621</v>
      </c>
      <c r="U29" t="s">
        <v>112</v>
      </c>
    </row>
    <row r="30" spans="1:21" x14ac:dyDescent="0.25">
      <c r="A30" t="s">
        <v>38</v>
      </c>
      <c r="B30">
        <v>3353918.8108027698</v>
      </c>
      <c r="C30">
        <v>79571.086617542998</v>
      </c>
      <c r="D30">
        <v>733293.71555271104</v>
      </c>
      <c r="E30">
        <v>9551941.2602907903</v>
      </c>
      <c r="F30">
        <v>13718724.873263801</v>
      </c>
      <c r="G30" s="1">
        <f t="shared" si="0"/>
        <v>0.82615360653184367</v>
      </c>
      <c r="H30" s="3">
        <f t="shared" si="1"/>
        <v>8.2615360653184363E-3</v>
      </c>
      <c r="K30">
        <v>1537643.4992182399</v>
      </c>
      <c r="L30">
        <v>21511.0503138606</v>
      </c>
      <c r="M30">
        <v>291510.01866972499</v>
      </c>
      <c r="N30">
        <v>14832886.4992525</v>
      </c>
      <c r="O30">
        <v>16683551.067454301</v>
      </c>
      <c r="P30" s="1">
        <f t="shared" si="2"/>
        <v>0.14481267410598261</v>
      </c>
      <c r="Q30" s="3">
        <f t="shared" si="3"/>
        <v>1.448126741059826E-3</v>
      </c>
      <c r="T30">
        <f t="shared" si="4"/>
        <v>5.7049813604520203</v>
      </c>
    </row>
    <row r="31" spans="1:21" x14ac:dyDescent="0.25">
      <c r="A31" t="s">
        <v>39</v>
      </c>
      <c r="B31">
        <v>3285464.2797073098</v>
      </c>
      <c r="C31">
        <v>12314.740910336101</v>
      </c>
      <c r="D31">
        <v>1282117.82530406</v>
      </c>
      <c r="E31">
        <v>7889593.3969271304</v>
      </c>
      <c r="F31">
        <v>12469490.2428488</v>
      </c>
      <c r="G31" s="1">
        <f t="shared" si="0"/>
        <v>0.15584515405042793</v>
      </c>
      <c r="H31" s="3">
        <f t="shared" si="1"/>
        <v>1.5584515405042793E-3</v>
      </c>
      <c r="K31">
        <v>1031451.26192705</v>
      </c>
      <c r="L31">
        <v>7945.4251622123802</v>
      </c>
      <c r="M31">
        <v>705575.86214608105</v>
      </c>
      <c r="N31">
        <v>14269102.9258017</v>
      </c>
      <c r="O31">
        <v>16014075.4750371</v>
      </c>
      <c r="P31" s="1">
        <f t="shared" si="2"/>
        <v>5.5651735336988944E-2</v>
      </c>
      <c r="Q31" s="3">
        <f t="shared" si="3"/>
        <v>5.5651735336988942E-4</v>
      </c>
      <c r="T31">
        <f t="shared" si="4"/>
        <v>2.8003646805752958</v>
      </c>
    </row>
    <row r="32" spans="1:21" x14ac:dyDescent="0.25">
      <c r="A32" t="s">
        <v>40</v>
      </c>
      <c r="B32">
        <v>2838852.2227458302</v>
      </c>
      <c r="C32">
        <v>12002.4555483558</v>
      </c>
      <c r="D32">
        <v>891847.67665919196</v>
      </c>
      <c r="E32">
        <v>5988981.1638309602</v>
      </c>
      <c r="F32">
        <v>9731683.5187843498</v>
      </c>
      <c r="G32" s="1">
        <f t="shared" si="0"/>
        <v>0.20000813715930821</v>
      </c>
      <c r="H32" s="3">
        <f t="shared" si="1"/>
        <v>2.0000813715930822E-3</v>
      </c>
      <c r="K32">
        <v>1533038.2629662</v>
      </c>
      <c r="L32">
        <v>11198.323823529299</v>
      </c>
      <c r="M32">
        <v>840708.78600179101</v>
      </c>
      <c r="N32">
        <v>19340500.082936902</v>
      </c>
      <c r="O32">
        <v>21725445.4557284</v>
      </c>
      <c r="P32" s="1">
        <f t="shared" si="2"/>
        <v>5.7867395347672504E-2</v>
      </c>
      <c r="Q32" s="3">
        <f t="shared" si="3"/>
        <v>5.7867395347672502E-4</v>
      </c>
      <c r="T32">
        <f t="shared" si="4"/>
        <v>3.456318293879332</v>
      </c>
    </row>
    <row r="33" spans="1:21" x14ac:dyDescent="0.25">
      <c r="A33" t="s">
        <v>41</v>
      </c>
      <c r="B33">
        <v>7217388.5516946604</v>
      </c>
      <c r="C33">
        <v>15796.0294593947</v>
      </c>
      <c r="D33">
        <v>983743.77191974001</v>
      </c>
      <c r="E33">
        <v>7802925.1589390896</v>
      </c>
      <c r="F33">
        <v>16019853.5120128</v>
      </c>
      <c r="G33" s="1">
        <f t="shared" si="0"/>
        <v>0.202028299497788</v>
      </c>
      <c r="H33" s="3">
        <f t="shared" si="1"/>
        <v>2.02028299497788E-3</v>
      </c>
      <c r="I33" s="1"/>
      <c r="J33" s="1"/>
      <c r="K33">
        <v>4453518.2608458297</v>
      </c>
      <c r="L33">
        <v>6321.3270767986696</v>
      </c>
      <c r="M33">
        <v>1032319.84221205</v>
      </c>
      <c r="N33">
        <v>32397369.750736099</v>
      </c>
      <c r="O33">
        <v>37889529.180870801</v>
      </c>
      <c r="P33" s="1">
        <f t="shared" si="2"/>
        <v>1.9508046356876113E-2</v>
      </c>
      <c r="Q33" s="3">
        <f t="shared" si="3"/>
        <v>1.9508046356876113E-4</v>
      </c>
      <c r="T33">
        <f t="shared" si="4"/>
        <v>10.35615231796791</v>
      </c>
    </row>
    <row r="34" spans="1:21" x14ac:dyDescent="0.25">
      <c r="A34" t="s">
        <v>42</v>
      </c>
      <c r="B34">
        <v>1761050.93814656</v>
      </c>
      <c r="C34">
        <v>25691.1639254004</v>
      </c>
      <c r="D34">
        <v>257228.679149253</v>
      </c>
      <c r="E34">
        <v>3887231.0145045798</v>
      </c>
      <c r="F34">
        <v>5931201.7957258001</v>
      </c>
      <c r="G34" s="1">
        <f t="shared" si="0"/>
        <v>0.65657231996647358</v>
      </c>
      <c r="H34" s="3">
        <f t="shared" si="1"/>
        <v>6.565723199664736E-3</v>
      </c>
      <c r="K34">
        <v>1155857.0047700601</v>
      </c>
      <c r="L34">
        <v>16136.2374271876</v>
      </c>
      <c r="M34">
        <v>195583.24756295799</v>
      </c>
      <c r="N34">
        <v>10509691.5354008</v>
      </c>
      <c r="O34">
        <v>11877268.025161</v>
      </c>
      <c r="P34" s="1">
        <f t="shared" si="2"/>
        <v>0.15330136285188575</v>
      </c>
      <c r="Q34" s="3">
        <f t="shared" si="3"/>
        <v>1.5330136285188576E-3</v>
      </c>
      <c r="T34">
        <f t="shared" si="4"/>
        <v>4.2828863863449804</v>
      </c>
    </row>
    <row r="35" spans="1:21" x14ac:dyDescent="0.25">
      <c r="A35" t="s">
        <v>43</v>
      </c>
      <c r="B35">
        <v>1711643.5814026999</v>
      </c>
      <c r="C35">
        <v>62743.360279446701</v>
      </c>
      <c r="D35">
        <v>206288.80886084601</v>
      </c>
      <c r="E35">
        <v>4729615.7305656904</v>
      </c>
      <c r="F35">
        <v>6710291.4811086897</v>
      </c>
      <c r="G35" s="1">
        <f t="shared" si="0"/>
        <v>1.3092374567528879</v>
      </c>
      <c r="H35" s="3">
        <f t="shared" si="1"/>
        <v>1.309237456752888E-2</v>
      </c>
      <c r="K35">
        <v>832838.12067526404</v>
      </c>
      <c r="L35">
        <v>9468.4727877470596</v>
      </c>
      <c r="M35">
        <v>163126.17742533499</v>
      </c>
      <c r="N35">
        <v>10819081.497522</v>
      </c>
      <c r="O35">
        <v>11824514.268410301</v>
      </c>
      <c r="P35" s="1">
        <f t="shared" si="2"/>
        <v>8.743989558812755E-2</v>
      </c>
      <c r="Q35" s="3">
        <f t="shared" si="3"/>
        <v>8.7439895588127547E-4</v>
      </c>
      <c r="T35">
        <f t="shared" si="4"/>
        <v>14.972998857636494</v>
      </c>
    </row>
    <row r="36" spans="1:21" x14ac:dyDescent="0.25">
      <c r="A36" t="s">
        <v>44</v>
      </c>
      <c r="B36">
        <v>2541168.1065477999</v>
      </c>
      <c r="C36">
        <v>11031.9103062827</v>
      </c>
      <c r="D36">
        <v>501243.74852091499</v>
      </c>
      <c r="E36">
        <v>7037411.3089870103</v>
      </c>
      <c r="F36">
        <v>10090855.074362</v>
      </c>
      <c r="G36" s="1">
        <f t="shared" si="0"/>
        <v>0.15651555901146647</v>
      </c>
      <c r="H36" s="3">
        <f t="shared" si="1"/>
        <v>1.5651555901146645E-3</v>
      </c>
      <c r="K36">
        <v>877483.87914827804</v>
      </c>
      <c r="L36">
        <v>3885.82702816543</v>
      </c>
      <c r="M36">
        <v>622467.21833330195</v>
      </c>
      <c r="N36">
        <v>20094026.990228198</v>
      </c>
      <c r="O36">
        <v>21597863.914737899</v>
      </c>
      <c r="P36" s="1">
        <f t="shared" si="2"/>
        <v>1.9334480468185738E-2</v>
      </c>
      <c r="Q36" s="3">
        <f t="shared" si="3"/>
        <v>1.9334480468185739E-4</v>
      </c>
      <c r="T36">
        <f t="shared" si="4"/>
        <v>8.0951520403668322</v>
      </c>
    </row>
    <row r="37" spans="1:21" x14ac:dyDescent="0.25">
      <c r="A37" t="s">
        <v>45</v>
      </c>
      <c r="B37">
        <v>3100005.7620960898</v>
      </c>
      <c r="C37">
        <v>3729457.3183369599</v>
      </c>
      <c r="D37">
        <v>1061231.7609772</v>
      </c>
      <c r="E37">
        <v>3667219.4853536701</v>
      </c>
      <c r="F37">
        <v>11557914.3267639</v>
      </c>
      <c r="G37" s="1">
        <f t="shared" si="0"/>
        <v>50.420714833398129</v>
      </c>
      <c r="H37" s="3">
        <f t="shared" si="1"/>
        <v>0.50420714833398128</v>
      </c>
      <c r="K37">
        <v>1773941.6178278101</v>
      </c>
      <c r="L37">
        <v>404400.757160493</v>
      </c>
      <c r="M37">
        <v>1103215.6051016001</v>
      </c>
      <c r="N37">
        <v>22627899.9312784</v>
      </c>
      <c r="O37">
        <v>25909457.911368299</v>
      </c>
      <c r="P37" s="1">
        <f t="shared" si="2"/>
        <v>1.755798357406313</v>
      </c>
      <c r="Q37" s="3">
        <f t="shared" si="3"/>
        <v>1.755798357406313E-2</v>
      </c>
      <c r="T37">
        <f t="shared" si="4"/>
        <v>28.716688690767562</v>
      </c>
    </row>
    <row r="38" spans="1:21" x14ac:dyDescent="0.25">
      <c r="A38" t="s">
        <v>46</v>
      </c>
      <c r="B38">
        <v>4182966.6275863</v>
      </c>
      <c r="C38">
        <v>13150.285544189101</v>
      </c>
      <c r="D38">
        <v>300773.00056971703</v>
      </c>
      <c r="E38">
        <v>4129721.6971832002</v>
      </c>
      <c r="F38">
        <v>8626611.6108834092</v>
      </c>
      <c r="G38" s="1">
        <f t="shared" si="0"/>
        <v>0.31741954854061971</v>
      </c>
      <c r="H38" s="3">
        <f t="shared" si="1"/>
        <v>3.1741954854061973E-3</v>
      </c>
      <c r="K38">
        <v>1192785.3171834999</v>
      </c>
      <c r="L38">
        <v>8193.11620132604</v>
      </c>
      <c r="M38">
        <v>282739.64206343301</v>
      </c>
      <c r="N38">
        <v>14528479.4411707</v>
      </c>
      <c r="O38">
        <v>16012197.5166189</v>
      </c>
      <c r="P38" s="1">
        <f t="shared" si="2"/>
        <v>5.6361702920597466E-2</v>
      </c>
      <c r="Q38" s="3">
        <f t="shared" si="3"/>
        <v>5.6361702920597464E-4</v>
      </c>
      <c r="T38">
        <f t="shared" si="4"/>
        <v>5.6318303403252621</v>
      </c>
    </row>
    <row r="39" spans="1:21" x14ac:dyDescent="0.25">
      <c r="A39" t="s">
        <v>47</v>
      </c>
      <c r="B39">
        <v>1990466.59695227</v>
      </c>
      <c r="C39">
        <v>1729.71983470652</v>
      </c>
      <c r="D39">
        <v>871181.16877167299</v>
      </c>
      <c r="E39">
        <v>3781106.8241237099</v>
      </c>
      <c r="F39">
        <v>6644484.3096823702</v>
      </c>
      <c r="G39" s="1">
        <f t="shared" si="0"/>
        <v>4.5725471206760508E-2</v>
      </c>
      <c r="H39" s="3">
        <f t="shared" si="1"/>
        <v>4.5725471206760506E-4</v>
      </c>
      <c r="K39">
        <v>723318.06079485302</v>
      </c>
      <c r="L39">
        <v>12513.7456019288</v>
      </c>
      <c r="M39">
        <v>354155.27739258099</v>
      </c>
      <c r="N39">
        <v>11029898.639456799</v>
      </c>
      <c r="O39">
        <v>12119885.723246099</v>
      </c>
      <c r="P39" s="1">
        <f t="shared" si="2"/>
        <v>0.11332438207851123</v>
      </c>
      <c r="Q39" s="3">
        <f t="shared" si="3"/>
        <v>1.1332438207851123E-3</v>
      </c>
      <c r="T39">
        <f t="shared" si="4"/>
        <v>0.40349190852046174</v>
      </c>
      <c r="U39" t="s">
        <v>112</v>
      </c>
    </row>
    <row r="40" spans="1:21" x14ac:dyDescent="0.25">
      <c r="A40" t="s">
        <v>48</v>
      </c>
      <c r="B40">
        <v>1806796.86207435</v>
      </c>
      <c r="C40">
        <v>26240.035426370901</v>
      </c>
      <c r="D40">
        <v>248188.317670405</v>
      </c>
      <c r="E40">
        <v>4549632.4658951797</v>
      </c>
      <c r="F40">
        <v>6630857.6810663203</v>
      </c>
      <c r="G40" s="1">
        <f t="shared" si="0"/>
        <v>0.57344332515367413</v>
      </c>
      <c r="H40" s="3">
        <f t="shared" si="1"/>
        <v>5.7344332515367417E-3</v>
      </c>
      <c r="K40">
        <v>975601.65045107203</v>
      </c>
      <c r="L40">
        <v>146111.883218982</v>
      </c>
      <c r="M40">
        <v>503515.45064498601</v>
      </c>
      <c r="N40">
        <v>16855049.038559999</v>
      </c>
      <c r="O40">
        <v>18480278.022875</v>
      </c>
      <c r="P40" s="1">
        <f t="shared" si="2"/>
        <v>0.85942297641456022</v>
      </c>
      <c r="Q40" s="3">
        <f t="shared" si="3"/>
        <v>8.5942297641456028E-3</v>
      </c>
      <c r="T40">
        <f t="shared" si="4"/>
        <v>0.66724225543286153</v>
      </c>
      <c r="U40" t="s">
        <v>112</v>
      </c>
    </row>
    <row r="41" spans="1:21" x14ac:dyDescent="0.25">
      <c r="A41" t="s">
        <v>49</v>
      </c>
      <c r="B41">
        <v>1831137.7475258701</v>
      </c>
      <c r="C41">
        <v>13852.2869501552</v>
      </c>
      <c r="D41">
        <v>577468.12324960798</v>
      </c>
      <c r="E41">
        <v>6780973.8400384001</v>
      </c>
      <c r="F41">
        <v>9203431.9977640398</v>
      </c>
      <c r="G41" s="1">
        <f t="shared" si="0"/>
        <v>0.20386521584614101</v>
      </c>
      <c r="H41" s="3">
        <f t="shared" si="1"/>
        <v>2.03865215846141E-3</v>
      </c>
      <c r="K41">
        <v>764458.20614980499</v>
      </c>
      <c r="L41">
        <v>3054.9370115433398</v>
      </c>
      <c r="M41">
        <v>32387.191069097498</v>
      </c>
      <c r="N41">
        <v>8840307.4868631195</v>
      </c>
      <c r="O41">
        <v>9640207.8210935593</v>
      </c>
      <c r="P41" s="1">
        <f t="shared" si="2"/>
        <v>3.4544971302949708E-2</v>
      </c>
      <c r="Q41" s="3">
        <f t="shared" si="3"/>
        <v>3.4544971302949705E-4</v>
      </c>
      <c r="T41">
        <f t="shared" si="4"/>
        <v>5.9014440642691595</v>
      </c>
    </row>
    <row r="42" spans="1:21" x14ac:dyDescent="0.25">
      <c r="A42" t="s">
        <v>50</v>
      </c>
      <c r="B42">
        <v>5744064.0715772295</v>
      </c>
      <c r="C42">
        <v>5223.1982401851201</v>
      </c>
      <c r="D42">
        <v>2408403.3468794399</v>
      </c>
      <c r="E42">
        <v>12274744.227520799</v>
      </c>
      <c r="F42">
        <v>20432434.844217699</v>
      </c>
      <c r="G42" s="1">
        <f t="shared" si="0"/>
        <v>4.2534300451219968E-2</v>
      </c>
      <c r="H42" s="3">
        <f t="shared" si="1"/>
        <v>4.2534300451219971E-4</v>
      </c>
      <c r="K42">
        <v>1781442.21225651</v>
      </c>
      <c r="L42">
        <v>498.02587871532501</v>
      </c>
      <c r="M42">
        <v>1076838.8431418601</v>
      </c>
      <c r="N42">
        <v>19384701.362246301</v>
      </c>
      <c r="O42">
        <v>22243480.4435234</v>
      </c>
      <c r="P42" s="1">
        <f t="shared" si="2"/>
        <v>2.5691037205446835E-3</v>
      </c>
      <c r="Q42" s="3">
        <f t="shared" si="3"/>
        <v>2.5691037205446835E-5</v>
      </c>
      <c r="T42">
        <f t="shared" si="4"/>
        <v>16.556085342557576</v>
      </c>
    </row>
    <row r="43" spans="1:21" x14ac:dyDescent="0.25">
      <c r="A43" t="s">
        <v>51</v>
      </c>
      <c r="B43">
        <v>4921278.0097841201</v>
      </c>
      <c r="C43">
        <v>26667.7010626431</v>
      </c>
      <c r="D43">
        <v>1770909.53969735</v>
      </c>
      <c r="E43">
        <v>13585036.3698767</v>
      </c>
      <c r="F43">
        <v>20303891.620420799</v>
      </c>
      <c r="G43" s="1">
        <f t="shared" si="0"/>
        <v>0.1959174319663472</v>
      </c>
      <c r="H43" s="3">
        <f t="shared" si="1"/>
        <v>1.9591743196634721E-3</v>
      </c>
      <c r="K43">
        <v>1157426.08561683</v>
      </c>
      <c r="L43">
        <v>26321.509261474501</v>
      </c>
      <c r="M43">
        <v>539320.66731370206</v>
      </c>
      <c r="N43">
        <v>14335727.174487</v>
      </c>
      <c r="O43">
        <v>16058795.436679</v>
      </c>
      <c r="P43" s="1">
        <f t="shared" si="2"/>
        <v>0.18327127167629559</v>
      </c>
      <c r="Q43" s="3">
        <f t="shared" si="3"/>
        <v>1.8327127167629559E-3</v>
      </c>
      <c r="T43">
        <f t="shared" si="4"/>
        <v>1.0690024146958941</v>
      </c>
    </row>
    <row r="44" spans="1:21" x14ac:dyDescent="0.25">
      <c r="A44" t="s">
        <v>52</v>
      </c>
      <c r="B44">
        <v>2938615.11939542</v>
      </c>
      <c r="C44">
        <v>3138.8037465826601</v>
      </c>
      <c r="D44">
        <v>1178222.3828368001</v>
      </c>
      <c r="E44">
        <v>4554620.4541965798</v>
      </c>
      <c r="F44">
        <v>8674596.7601753902</v>
      </c>
      <c r="G44" s="1">
        <f t="shared" si="0"/>
        <v>6.886725623150064E-2</v>
      </c>
      <c r="H44" s="3">
        <f t="shared" si="1"/>
        <v>6.8867256231500639E-4</v>
      </c>
      <c r="I44" s="1"/>
      <c r="J44" s="1"/>
      <c r="K44">
        <v>2877957.4940512502</v>
      </c>
      <c r="L44">
        <v>3979.3812205126901</v>
      </c>
      <c r="M44">
        <v>1068627.8431975101</v>
      </c>
      <c r="N44">
        <v>21301642.249892399</v>
      </c>
      <c r="O44">
        <v>25252206.968361702</v>
      </c>
      <c r="P44" s="1">
        <f t="shared" si="2"/>
        <v>1.8677611427687899E-2</v>
      </c>
      <c r="Q44" s="3">
        <f t="shared" si="3"/>
        <v>1.8677611427687899E-4</v>
      </c>
      <c r="T44">
        <f t="shared" si="4"/>
        <v>3.6871554212446593</v>
      </c>
    </row>
    <row r="45" spans="1:21" x14ac:dyDescent="0.25">
      <c r="A45" t="s">
        <v>53</v>
      </c>
      <c r="B45">
        <v>3957206.32610045</v>
      </c>
      <c r="C45">
        <v>6680.8199063081001</v>
      </c>
      <c r="D45">
        <v>682529.56735183299</v>
      </c>
      <c r="E45">
        <v>8726092.1858978998</v>
      </c>
      <c r="F45">
        <v>13372508.899256499</v>
      </c>
      <c r="G45" s="1">
        <f t="shared" si="0"/>
        <v>7.6502846253620888E-2</v>
      </c>
      <c r="H45" s="3">
        <f t="shared" si="1"/>
        <v>7.6502846253620883E-4</v>
      </c>
      <c r="K45">
        <v>3247324.2673576698</v>
      </c>
      <c r="L45">
        <v>10452.4464170511</v>
      </c>
      <c r="M45">
        <v>838481.768466576</v>
      </c>
      <c r="N45">
        <v>21019841.8067156</v>
      </c>
      <c r="O45">
        <v>25116100.288956899</v>
      </c>
      <c r="P45" s="1">
        <f t="shared" si="2"/>
        <v>4.9701855291416637E-2</v>
      </c>
      <c r="Q45" s="3">
        <f t="shared" si="3"/>
        <v>4.9701855291416639E-4</v>
      </c>
      <c r="T45">
        <f t="shared" si="4"/>
        <v>1.5392352218053458</v>
      </c>
    </row>
    <row r="46" spans="1:21" x14ac:dyDescent="0.25">
      <c r="A46" t="s">
        <v>54</v>
      </c>
      <c r="B46">
        <v>6001350.2790591102</v>
      </c>
      <c r="C46">
        <v>532426.28841448796</v>
      </c>
      <c r="D46">
        <v>1635760.57563469</v>
      </c>
      <c r="E46">
        <v>11523014.134027099</v>
      </c>
      <c r="F46">
        <v>19692551.277135398</v>
      </c>
      <c r="G46" s="1">
        <f t="shared" si="0"/>
        <v>4.4164814370726715</v>
      </c>
      <c r="H46" s="3">
        <f t="shared" si="1"/>
        <v>4.4164814370726717E-2</v>
      </c>
      <c r="K46">
        <v>966895.48809540702</v>
      </c>
      <c r="L46">
        <v>42937.231657480799</v>
      </c>
      <c r="M46">
        <v>624753.24054252403</v>
      </c>
      <c r="N46">
        <v>14711761.9522413</v>
      </c>
      <c r="O46">
        <v>16346347.912536699</v>
      </c>
      <c r="P46" s="1">
        <f t="shared" si="2"/>
        <v>0.2910071640385356</v>
      </c>
      <c r="Q46" s="3">
        <f t="shared" si="3"/>
        <v>2.910071640385356E-3</v>
      </c>
      <c r="T46">
        <f t="shared" si="4"/>
        <v>15.176538528404869</v>
      </c>
    </row>
    <row r="47" spans="1:21" x14ac:dyDescent="0.25">
      <c r="A47" t="s">
        <v>55</v>
      </c>
      <c r="B47">
        <v>1135147.7127618501</v>
      </c>
      <c r="C47">
        <v>2916.4968714459301</v>
      </c>
      <c r="D47">
        <v>218205.226362321</v>
      </c>
      <c r="E47">
        <v>2582225.7589680199</v>
      </c>
      <c r="F47">
        <v>3938495.1949636401</v>
      </c>
      <c r="G47" s="1">
        <f t="shared" si="0"/>
        <v>0.112817654999758</v>
      </c>
      <c r="H47" s="3">
        <f t="shared" si="1"/>
        <v>1.1281765499975801E-3</v>
      </c>
      <c r="I47" s="1"/>
      <c r="J47" s="1"/>
      <c r="K47">
        <v>2821863.1680874401</v>
      </c>
      <c r="L47">
        <v>743.39695348809403</v>
      </c>
      <c r="M47">
        <v>400484.45877633599</v>
      </c>
      <c r="N47">
        <v>15604381.860572301</v>
      </c>
      <c r="O47">
        <v>18827472.884389602</v>
      </c>
      <c r="P47" s="1">
        <f t="shared" si="2"/>
        <v>4.7637999773797422E-3</v>
      </c>
      <c r="Q47" s="3">
        <f t="shared" si="3"/>
        <v>4.7637999773797426E-5</v>
      </c>
      <c r="R47" s="1"/>
      <c r="T47">
        <f t="shared" si="4"/>
        <v>23.6822821141646</v>
      </c>
    </row>
    <row r="48" spans="1:21" x14ac:dyDescent="0.25">
      <c r="A48" t="s">
        <v>56</v>
      </c>
      <c r="B48">
        <v>2038918.8486746899</v>
      </c>
      <c r="C48">
        <v>26902.726233686</v>
      </c>
      <c r="D48">
        <v>360697.92542743398</v>
      </c>
      <c r="E48">
        <v>4063050.1865507201</v>
      </c>
      <c r="F48">
        <v>6489569.6868865304</v>
      </c>
      <c r="G48" s="1">
        <f t="shared" si="0"/>
        <v>0.65777594039269383</v>
      </c>
      <c r="H48" s="3">
        <f t="shared" si="1"/>
        <v>6.5777594039269386E-3</v>
      </c>
      <c r="K48">
        <v>1073428.25122581</v>
      </c>
      <c r="L48">
        <v>11733.8060058428</v>
      </c>
      <c r="M48">
        <v>551218.00869911502</v>
      </c>
      <c r="N48">
        <v>12644580.141041201</v>
      </c>
      <c r="O48">
        <v>14280960.206971999</v>
      </c>
      <c r="P48" s="1">
        <f t="shared" si="2"/>
        <v>9.2711085193809675E-2</v>
      </c>
      <c r="Q48" s="3">
        <f t="shared" si="3"/>
        <v>9.2711085193809676E-4</v>
      </c>
      <c r="T48">
        <f t="shared" si="4"/>
        <v>7.0949006692957317</v>
      </c>
    </row>
    <row r="49" spans="1:21" x14ac:dyDescent="0.25">
      <c r="A49" t="s">
        <v>57</v>
      </c>
      <c r="B49">
        <v>1797206.2057002101</v>
      </c>
      <c r="C49">
        <v>1868.2090831632399</v>
      </c>
      <c r="D49">
        <v>417821.681758611</v>
      </c>
      <c r="E49">
        <v>2629488.4934481801</v>
      </c>
      <c r="F49">
        <v>4846384.5899901604</v>
      </c>
      <c r="G49" s="1">
        <f t="shared" si="0"/>
        <v>7.0997941152031507E-2</v>
      </c>
      <c r="H49" s="3">
        <f t="shared" si="1"/>
        <v>7.0997941152031513E-4</v>
      </c>
      <c r="K49">
        <v>1169899.7371638501</v>
      </c>
      <c r="L49">
        <v>14317.672602890199</v>
      </c>
      <c r="M49">
        <v>536281.68579518201</v>
      </c>
      <c r="N49">
        <v>10424647.9838615</v>
      </c>
      <c r="O49">
        <v>12145147.0794235</v>
      </c>
      <c r="P49" s="1">
        <f t="shared" si="2"/>
        <v>0.13715604662444594</v>
      </c>
      <c r="Q49" s="3">
        <f t="shared" si="3"/>
        <v>1.3715604662444595E-3</v>
      </c>
      <c r="T49">
        <f t="shared" si="4"/>
        <v>0.51764353741133007</v>
      </c>
      <c r="U49" t="s">
        <v>112</v>
      </c>
    </row>
    <row r="50" spans="1:21" x14ac:dyDescent="0.25">
      <c r="A50" t="s">
        <v>58</v>
      </c>
      <c r="B50">
        <v>6076540.3186702495</v>
      </c>
      <c r="C50">
        <v>61772.427123026202</v>
      </c>
      <c r="D50">
        <v>1930596.6688918399</v>
      </c>
      <c r="E50">
        <v>20393260.5259213</v>
      </c>
      <c r="F50">
        <v>28462169.9406064</v>
      </c>
      <c r="G50" s="1">
        <f t="shared" si="0"/>
        <v>0.30199133516346938</v>
      </c>
      <c r="H50" s="3">
        <f t="shared" si="1"/>
        <v>3.019913351634694E-3</v>
      </c>
      <c r="K50">
        <v>2715743.2398500801</v>
      </c>
      <c r="L50">
        <v>17977.581339143198</v>
      </c>
      <c r="M50">
        <v>415143.652969838</v>
      </c>
      <c r="N50">
        <v>14623299.918857001</v>
      </c>
      <c r="O50">
        <v>17772164.393015999</v>
      </c>
      <c r="P50" s="1">
        <f t="shared" si="2"/>
        <v>0.12278697223587463</v>
      </c>
      <c r="Q50" s="3">
        <f t="shared" si="3"/>
        <v>1.2278697223587463E-3</v>
      </c>
      <c r="T50">
        <f t="shared" si="4"/>
        <v>2.4594737508743347</v>
      </c>
    </row>
    <row r="51" spans="1:21" x14ac:dyDescent="0.25">
      <c r="A51" t="s">
        <v>59</v>
      </c>
      <c r="B51">
        <v>1885931.5875713101</v>
      </c>
      <c r="C51">
        <v>10289.819292786</v>
      </c>
      <c r="D51">
        <v>323651.31883222598</v>
      </c>
      <c r="E51">
        <v>2616452.8806400201</v>
      </c>
      <c r="F51">
        <v>4836325.6063363403</v>
      </c>
      <c r="G51" s="1">
        <f t="shared" si="0"/>
        <v>0.39173304995000924</v>
      </c>
      <c r="H51" s="3">
        <f t="shared" si="1"/>
        <v>3.9173304995000924E-3</v>
      </c>
      <c r="K51">
        <v>3258793.4227064298</v>
      </c>
      <c r="L51">
        <v>27624.964036895199</v>
      </c>
      <c r="M51">
        <v>495517.17437211698</v>
      </c>
      <c r="N51">
        <v>26957073.2576662</v>
      </c>
      <c r="O51">
        <v>30739008.8187817</v>
      </c>
      <c r="P51" s="1">
        <f t="shared" si="2"/>
        <v>0.10237269955710364</v>
      </c>
      <c r="Q51" s="3">
        <f t="shared" si="3"/>
        <v>1.0237269955710364E-3</v>
      </c>
      <c r="T51">
        <f t="shared" si="4"/>
        <v>3.8265382435431428</v>
      </c>
    </row>
    <row r="52" spans="1:21" x14ac:dyDescent="0.25">
      <c r="A52" t="s">
        <v>60</v>
      </c>
      <c r="B52">
        <v>2875880.5499082902</v>
      </c>
      <c r="C52">
        <v>21657.9771415619</v>
      </c>
      <c r="D52">
        <v>629353.12073217204</v>
      </c>
      <c r="E52">
        <v>4681009.1732721701</v>
      </c>
      <c r="F52">
        <v>8207900.8210541904</v>
      </c>
      <c r="G52" s="1">
        <f t="shared" si="0"/>
        <v>0.46054667380948855</v>
      </c>
      <c r="H52" s="3">
        <f t="shared" si="1"/>
        <v>4.6054667380948855E-3</v>
      </c>
      <c r="K52">
        <v>1476663.4748024801</v>
      </c>
      <c r="L52">
        <v>2841.1670518291198</v>
      </c>
      <c r="M52">
        <v>269267.08260548097</v>
      </c>
      <c r="N52">
        <v>18574601.509584099</v>
      </c>
      <c r="O52">
        <v>20323373.2340439</v>
      </c>
      <c r="P52" s="1">
        <f t="shared" si="2"/>
        <v>1.5293639179962787E-2</v>
      </c>
      <c r="Q52" s="3">
        <f t="shared" si="3"/>
        <v>1.5293639179962787E-4</v>
      </c>
      <c r="T52">
        <f t="shared" si="4"/>
        <v>30.11360921950358</v>
      </c>
    </row>
    <row r="53" spans="1:21" x14ac:dyDescent="0.25">
      <c r="A53" t="s">
        <v>61</v>
      </c>
      <c r="B53">
        <v>3519536.4546461399</v>
      </c>
      <c r="C53">
        <v>28866.461993156299</v>
      </c>
      <c r="D53">
        <v>1237242.02143079</v>
      </c>
      <c r="E53">
        <v>7190093.4341938701</v>
      </c>
      <c r="F53">
        <v>11975738.372263899</v>
      </c>
      <c r="G53" s="1">
        <f t="shared" si="0"/>
        <v>0.39987009774639753</v>
      </c>
      <c r="H53" s="3">
        <f t="shared" si="1"/>
        <v>3.9987009774639752E-3</v>
      </c>
      <c r="I53" s="1"/>
      <c r="J53" s="1"/>
      <c r="K53">
        <v>2855705.0059184898</v>
      </c>
      <c r="L53">
        <v>9451.6891419268504</v>
      </c>
      <c r="M53">
        <v>594149.38374543795</v>
      </c>
      <c r="N53">
        <v>15661865.5550531</v>
      </c>
      <c r="O53">
        <v>19121171.633858901</v>
      </c>
      <c r="P53" s="1">
        <f t="shared" si="2"/>
        <v>6.0312027346826558E-2</v>
      </c>
      <c r="Q53" s="3">
        <f t="shared" si="3"/>
        <v>6.0312027346826557E-4</v>
      </c>
      <c r="T53">
        <f t="shared" si="4"/>
        <v>6.6300224903223635</v>
      </c>
    </row>
    <row r="54" spans="1:21" x14ac:dyDescent="0.25">
      <c r="A54" t="s">
        <v>62</v>
      </c>
      <c r="B54">
        <v>3281362.3116030199</v>
      </c>
      <c r="C54">
        <v>6509.5742350313903</v>
      </c>
      <c r="D54">
        <v>913483.12269551097</v>
      </c>
      <c r="E54">
        <v>7406074.6450230395</v>
      </c>
      <c r="F54">
        <v>11607429.6535566</v>
      </c>
      <c r="G54" s="1">
        <f t="shared" si="0"/>
        <v>8.7817878927019283E-2</v>
      </c>
      <c r="H54" s="3">
        <f t="shared" si="1"/>
        <v>8.7817878927019279E-4</v>
      </c>
      <c r="K54">
        <v>2306261.1310197599</v>
      </c>
      <c r="L54">
        <v>12863.6669432697</v>
      </c>
      <c r="M54">
        <v>1087924.89286133</v>
      </c>
      <c r="N54">
        <v>12216710.7396826</v>
      </c>
      <c r="O54">
        <v>15623760.430507001</v>
      </c>
      <c r="P54" s="1">
        <f t="shared" si="2"/>
        <v>0.10518491090172595</v>
      </c>
      <c r="Q54" s="3">
        <f t="shared" si="3"/>
        <v>1.0518491090172595E-3</v>
      </c>
      <c r="T54">
        <f t="shared" si="4"/>
        <v>0.83489046265454692</v>
      </c>
      <c r="U54" t="s">
        <v>112</v>
      </c>
    </row>
    <row r="55" spans="1:21" x14ac:dyDescent="0.25">
      <c r="A55" t="s">
        <v>63</v>
      </c>
      <c r="B55">
        <v>1385243.37318346</v>
      </c>
      <c r="C55">
        <v>9800.2647640848008</v>
      </c>
      <c r="D55">
        <v>403453.14064738801</v>
      </c>
      <c r="E55">
        <v>5159516.2859421996</v>
      </c>
      <c r="F55">
        <v>6958013.0645371396</v>
      </c>
      <c r="G55" s="1">
        <f t="shared" si="0"/>
        <v>0.18958530915940502</v>
      </c>
      <c r="H55" s="3">
        <f t="shared" si="1"/>
        <v>1.8958530915940503E-3</v>
      </c>
      <c r="K55">
        <v>1857176.8963717599</v>
      </c>
      <c r="L55">
        <v>3804.4656967170999</v>
      </c>
      <c r="M55">
        <v>497149.64815577702</v>
      </c>
      <c r="N55">
        <v>11002523.297862399</v>
      </c>
      <c r="O55">
        <v>13360654.3080866</v>
      </c>
      <c r="P55" s="1">
        <f t="shared" si="2"/>
        <v>3.4566167557841747E-2</v>
      </c>
      <c r="Q55" s="3">
        <f t="shared" si="3"/>
        <v>3.4566167557841746E-4</v>
      </c>
      <c r="T55">
        <f t="shared" si="4"/>
        <v>5.4847072312011447</v>
      </c>
    </row>
    <row r="56" spans="1:21" x14ac:dyDescent="0.25">
      <c r="A56" t="s">
        <v>64</v>
      </c>
      <c r="B56">
        <v>8171846.5158879897</v>
      </c>
      <c r="C56">
        <v>11523.747049989701</v>
      </c>
      <c r="D56">
        <v>3107771.2829313199</v>
      </c>
      <c r="E56">
        <v>6429460.0918694502</v>
      </c>
      <c r="F56">
        <v>17720601.637738701</v>
      </c>
      <c r="G56" s="1">
        <f t="shared" si="0"/>
        <v>0.17891283906594868</v>
      </c>
      <c r="H56" s="3">
        <f t="shared" si="1"/>
        <v>1.7891283906594868E-3</v>
      </c>
      <c r="K56">
        <v>3365373.85572909</v>
      </c>
      <c r="L56">
        <v>4206.4652718577499</v>
      </c>
      <c r="M56">
        <v>586596.01577253104</v>
      </c>
      <c r="N56">
        <v>17311369.535664</v>
      </c>
      <c r="O56">
        <v>21267545.872437499</v>
      </c>
      <c r="P56" s="1">
        <f t="shared" si="2"/>
        <v>2.4292956073944078E-2</v>
      </c>
      <c r="Q56" s="3">
        <f t="shared" si="3"/>
        <v>2.4292956073944077E-4</v>
      </c>
      <c r="T56">
        <f t="shared" si="4"/>
        <v>7.3648031355823935</v>
      </c>
    </row>
    <row r="57" spans="1:21" x14ac:dyDescent="0.25">
      <c r="A57" t="s">
        <v>65</v>
      </c>
      <c r="B57">
        <v>3193475.74421186</v>
      </c>
      <c r="C57">
        <v>11874.9082836121</v>
      </c>
      <c r="D57">
        <v>674985.77229397499</v>
      </c>
      <c r="E57">
        <v>6155648.2933167899</v>
      </c>
      <c r="F57">
        <v>10035984.718106201</v>
      </c>
      <c r="G57" s="1">
        <f t="shared" si="0"/>
        <v>0.19253933703128506</v>
      </c>
      <c r="H57" s="3">
        <f t="shared" si="1"/>
        <v>1.9253933703128505E-3</v>
      </c>
      <c r="K57">
        <v>2906630.38653658</v>
      </c>
      <c r="L57">
        <v>12240.5330169762</v>
      </c>
      <c r="M57">
        <v>473261.73958620097</v>
      </c>
      <c r="N57">
        <v>20127696.2331977</v>
      </c>
      <c r="O57">
        <v>23519828.8923374</v>
      </c>
      <c r="P57" s="1">
        <f t="shared" si="2"/>
        <v>6.0777415336824923E-2</v>
      </c>
      <c r="Q57" s="3">
        <f t="shared" si="3"/>
        <v>6.0777415336824925E-4</v>
      </c>
      <c r="T57">
        <f t="shared" si="4"/>
        <v>3.1679421700354182</v>
      </c>
    </row>
    <row r="58" spans="1:21" x14ac:dyDescent="0.25">
      <c r="A58" t="s">
        <v>66</v>
      </c>
      <c r="B58">
        <v>4383847.7697386602</v>
      </c>
      <c r="C58">
        <v>16261.185612925499</v>
      </c>
      <c r="D58">
        <v>1884962.57606921</v>
      </c>
      <c r="E58">
        <v>10707297.7399015</v>
      </c>
      <c r="F58">
        <v>16992369.271322299</v>
      </c>
      <c r="G58" s="1">
        <f t="shared" si="0"/>
        <v>0.15163982149839705</v>
      </c>
      <c r="H58" s="3">
        <f t="shared" si="1"/>
        <v>1.5163982149839705E-3</v>
      </c>
      <c r="K58">
        <v>2153345.62801763</v>
      </c>
      <c r="L58">
        <v>4912.2458070270304</v>
      </c>
      <c r="M58">
        <v>789410.29112674005</v>
      </c>
      <c r="N58">
        <v>14144602.872976501</v>
      </c>
      <c r="O58">
        <v>17092271.0379279</v>
      </c>
      <c r="P58" s="1">
        <f t="shared" si="2"/>
        <v>3.4716707716054583E-2</v>
      </c>
      <c r="Q58" s="3">
        <f t="shared" si="3"/>
        <v>3.4716707716054581E-4</v>
      </c>
      <c r="T58">
        <f t="shared" si="4"/>
        <v>4.3679205625904416</v>
      </c>
    </row>
    <row r="59" spans="1:21" x14ac:dyDescent="0.25">
      <c r="A59" t="s">
        <v>67</v>
      </c>
      <c r="B59">
        <v>1070919.24581798</v>
      </c>
      <c r="C59">
        <v>25502.2708300378</v>
      </c>
      <c r="D59">
        <v>371693.01614630001</v>
      </c>
      <c r="E59">
        <v>3762179.5347881</v>
      </c>
      <c r="F59">
        <v>5230294.0675824303</v>
      </c>
      <c r="G59" s="1">
        <f t="shared" si="0"/>
        <v>0.67329496348429163</v>
      </c>
      <c r="H59" s="3">
        <f t="shared" si="1"/>
        <v>6.7329496348429163E-3</v>
      </c>
      <c r="K59">
        <v>1300723.9191242</v>
      </c>
      <c r="L59">
        <v>6094.0649085163004</v>
      </c>
      <c r="M59">
        <v>154457.883137736</v>
      </c>
      <c r="N59">
        <v>11348958.737415699</v>
      </c>
      <c r="O59">
        <v>12810234.6045861</v>
      </c>
      <c r="P59" s="1">
        <f t="shared" si="2"/>
        <v>5.3668309734930815E-2</v>
      </c>
      <c r="Q59" s="3">
        <f t="shared" si="3"/>
        <v>5.3668309734930812E-4</v>
      </c>
      <c r="T59">
        <f t="shared" si="4"/>
        <v>12.545484789994562</v>
      </c>
    </row>
    <row r="60" spans="1:21" x14ac:dyDescent="0.25">
      <c r="A60" t="s">
        <v>68</v>
      </c>
      <c r="B60">
        <v>4184262.7624805002</v>
      </c>
      <c r="C60">
        <v>33283.851744178901</v>
      </c>
      <c r="D60">
        <v>1322703.0135238699</v>
      </c>
      <c r="E60">
        <v>5387778.7092188401</v>
      </c>
      <c r="F60">
        <v>10928028.336967399</v>
      </c>
      <c r="G60" s="1">
        <f t="shared" si="0"/>
        <v>0.61397283963950844</v>
      </c>
      <c r="H60" s="3">
        <f t="shared" si="1"/>
        <v>6.139728396395084E-3</v>
      </c>
      <c r="I60" s="1"/>
      <c r="J60" s="1"/>
      <c r="K60">
        <v>1952376.4950445299</v>
      </c>
      <c r="L60">
        <v>7867.5781083554202</v>
      </c>
      <c r="M60">
        <v>343006.727468814</v>
      </c>
      <c r="N60">
        <v>11483327.271630401</v>
      </c>
      <c r="O60">
        <v>13786578.072252201</v>
      </c>
      <c r="P60" s="1">
        <f t="shared" si="2"/>
        <v>6.8466144828570927E-2</v>
      </c>
      <c r="Q60" s="3">
        <f t="shared" si="3"/>
        <v>6.8466144828570926E-4</v>
      </c>
      <c r="T60">
        <f t="shared" si="4"/>
        <v>8.9675392294513632</v>
      </c>
    </row>
    <row r="61" spans="1:21" x14ac:dyDescent="0.25">
      <c r="A61" t="s">
        <v>69</v>
      </c>
      <c r="B61">
        <v>2068322.04650858</v>
      </c>
      <c r="C61">
        <v>14820.337996398301</v>
      </c>
      <c r="D61">
        <v>444786.26881658501</v>
      </c>
      <c r="E61">
        <v>4638796.1599286497</v>
      </c>
      <c r="F61">
        <v>7166724.8132502101</v>
      </c>
      <c r="G61" s="1">
        <f t="shared" si="0"/>
        <v>0.31846925940301241</v>
      </c>
      <c r="H61" s="3">
        <f t="shared" si="1"/>
        <v>3.184692594030124E-3</v>
      </c>
      <c r="K61">
        <v>1897673.7681348401</v>
      </c>
      <c r="L61">
        <v>29515.563722193499</v>
      </c>
      <c r="M61">
        <v>567051.32425183395</v>
      </c>
      <c r="N61">
        <v>16032836.2365983</v>
      </c>
      <c r="O61">
        <v>18527076.892707199</v>
      </c>
      <c r="P61" s="1">
        <f t="shared" si="2"/>
        <v>0.18375617773235781</v>
      </c>
      <c r="Q61" s="3">
        <f t="shared" si="3"/>
        <v>1.837561777323578E-3</v>
      </c>
      <c r="T61">
        <f t="shared" si="4"/>
        <v>1.7331077699431969</v>
      </c>
    </row>
    <row r="62" spans="1:21" x14ac:dyDescent="0.25">
      <c r="A62" t="s">
        <v>70</v>
      </c>
      <c r="B62">
        <v>3447359.1053592698</v>
      </c>
      <c r="C62">
        <v>1902.2123888072999</v>
      </c>
      <c r="D62">
        <v>555057.31512788904</v>
      </c>
      <c r="E62">
        <v>4049036.4150480898</v>
      </c>
      <c r="F62">
        <v>8053355.0479240604</v>
      </c>
      <c r="G62" s="1">
        <f t="shared" si="0"/>
        <v>4.6957324308091637E-2</v>
      </c>
      <c r="H62" s="3">
        <f t="shared" si="1"/>
        <v>4.6957324308091638E-4</v>
      </c>
      <c r="K62">
        <v>892872.50083289004</v>
      </c>
      <c r="L62">
        <v>9303.3490969828399</v>
      </c>
      <c r="M62">
        <v>181815.549397622</v>
      </c>
      <c r="N62">
        <v>10116672.436174201</v>
      </c>
      <c r="O62">
        <v>11200663.835501701</v>
      </c>
      <c r="P62" s="1">
        <f t="shared" si="2"/>
        <v>9.1876074901493424E-2</v>
      </c>
      <c r="Q62" s="3">
        <f t="shared" si="3"/>
        <v>9.1876074901493419E-4</v>
      </c>
      <c r="T62">
        <f t="shared" si="4"/>
        <v>0.51109414892220606</v>
      </c>
      <c r="U62" t="s">
        <v>112</v>
      </c>
    </row>
    <row r="63" spans="1:21" x14ac:dyDescent="0.25">
      <c r="A63" t="s">
        <v>71</v>
      </c>
      <c r="B63">
        <v>2966830.8226643601</v>
      </c>
      <c r="C63">
        <v>17395.627103982501</v>
      </c>
      <c r="D63">
        <v>1084451.72646039</v>
      </c>
      <c r="E63">
        <v>5773305.0838801302</v>
      </c>
      <c r="F63">
        <v>9841983.2601088602</v>
      </c>
      <c r="G63" s="1">
        <f t="shared" si="0"/>
        <v>0.3004062543067636</v>
      </c>
      <c r="H63" s="3">
        <f t="shared" si="1"/>
        <v>3.0040625430676361E-3</v>
      </c>
      <c r="K63">
        <v>7284998.56231522</v>
      </c>
      <c r="L63">
        <v>60732.2508166271</v>
      </c>
      <c r="M63">
        <v>414014.95331990003</v>
      </c>
      <c r="N63">
        <v>19216050.752910499</v>
      </c>
      <c r="O63">
        <v>26975796.519362301</v>
      </c>
      <c r="P63" s="1">
        <f t="shared" si="2"/>
        <v>0.31505386975038646</v>
      </c>
      <c r="Q63" s="3">
        <f t="shared" si="3"/>
        <v>3.1505386975038646E-3</v>
      </c>
      <c r="T63">
        <f t="shared" si="4"/>
        <v>0.95350758441650629</v>
      </c>
      <c r="U63" t="s">
        <v>112</v>
      </c>
    </row>
    <row r="64" spans="1:21" x14ac:dyDescent="0.25">
      <c r="A64" t="s">
        <v>72</v>
      </c>
      <c r="B64">
        <v>1700980.9824373701</v>
      </c>
      <c r="C64">
        <v>6819.3165873545704</v>
      </c>
      <c r="D64">
        <v>996392.76991008397</v>
      </c>
      <c r="E64">
        <v>3414857.2026537498</v>
      </c>
      <c r="F64">
        <v>6119050.2715885602</v>
      </c>
      <c r="G64" s="1">
        <f t="shared" si="0"/>
        <v>0.19929752415248858</v>
      </c>
      <c r="H64" s="3">
        <f t="shared" si="1"/>
        <v>1.9929752415248857E-3</v>
      </c>
      <c r="K64">
        <v>3042293.4248736901</v>
      </c>
      <c r="L64">
        <v>15810.5138405784</v>
      </c>
      <c r="M64">
        <v>790141.84734748001</v>
      </c>
      <c r="N64">
        <v>18592177.941452701</v>
      </c>
      <c r="O64">
        <v>22440423.727514401</v>
      </c>
      <c r="P64" s="1">
        <f t="shared" si="2"/>
        <v>8.4966270688333845E-2</v>
      </c>
      <c r="Q64" s="3">
        <f t="shared" si="3"/>
        <v>8.4966270688333848E-4</v>
      </c>
      <c r="T64">
        <f t="shared" si="4"/>
        <v>2.3456075279981987</v>
      </c>
    </row>
    <row r="65" spans="1:20" x14ac:dyDescent="0.25">
      <c r="A65" t="s">
        <v>73</v>
      </c>
      <c r="B65">
        <v>1975193.6730858299</v>
      </c>
      <c r="C65">
        <v>25156.3798373926</v>
      </c>
      <c r="D65">
        <v>693797.40779061802</v>
      </c>
      <c r="E65">
        <v>4218556.0558144003</v>
      </c>
      <c r="F65">
        <v>6912703.5165282404</v>
      </c>
      <c r="G65" s="1">
        <f t="shared" si="0"/>
        <v>0.5927918118591563</v>
      </c>
      <c r="H65" s="3">
        <f t="shared" si="1"/>
        <v>5.9279181185915636E-3</v>
      </c>
      <c r="K65">
        <v>2367949.0198315098</v>
      </c>
      <c r="L65">
        <v>55561.466448197702</v>
      </c>
      <c r="M65">
        <v>611705.738926752</v>
      </c>
      <c r="N65">
        <v>12624840.3661929</v>
      </c>
      <c r="O65">
        <v>15660056.5913994</v>
      </c>
      <c r="P65" s="1">
        <f t="shared" si="2"/>
        <v>0.43816802638836611</v>
      </c>
      <c r="Q65" s="3">
        <f t="shared" si="3"/>
        <v>4.3816802638836612E-3</v>
      </c>
      <c r="T65">
        <f t="shared" si="4"/>
        <v>1.3528869660921834</v>
      </c>
    </row>
    <row r="66" spans="1:20" x14ac:dyDescent="0.25">
      <c r="A66" t="s">
        <v>74</v>
      </c>
      <c r="B66">
        <v>2962186.6186078899</v>
      </c>
      <c r="C66">
        <v>45315.5574156289</v>
      </c>
      <c r="D66">
        <v>392110.88059701101</v>
      </c>
      <c r="E66">
        <v>3265450.7770676799</v>
      </c>
      <c r="F66">
        <v>6665063.83368822</v>
      </c>
      <c r="G66" s="1">
        <f t="shared" si="0"/>
        <v>1.368733182515613</v>
      </c>
      <c r="H66" s="3">
        <f t="shared" si="1"/>
        <v>1.3687331825156131E-2</v>
      </c>
      <c r="K66">
        <v>2100590.966451</v>
      </c>
      <c r="L66">
        <v>20519.908631914899</v>
      </c>
      <c r="M66">
        <v>465777.51049644401</v>
      </c>
      <c r="N66">
        <v>11900768.3845114</v>
      </c>
      <c r="O66">
        <v>14487656.7700908</v>
      </c>
      <c r="P66" s="1">
        <f t="shared" si="2"/>
        <v>0.17212828116670237</v>
      </c>
      <c r="Q66" s="3">
        <f t="shared" si="3"/>
        <v>1.7212828116670237E-3</v>
      </c>
      <c r="T66">
        <f t="shared" si="4"/>
        <v>7.9518204285676086</v>
      </c>
    </row>
    <row r="67" spans="1:20" x14ac:dyDescent="0.25">
      <c r="A67" t="s">
        <v>75</v>
      </c>
      <c r="B67">
        <v>1643269.5377669099</v>
      </c>
      <c r="C67">
        <v>9706.6048871663206</v>
      </c>
      <c r="D67">
        <v>221608.43394001</v>
      </c>
      <c r="E67">
        <v>3215627.7778110201</v>
      </c>
      <c r="F67">
        <v>5090212.3544051098</v>
      </c>
      <c r="G67" s="1">
        <f t="shared" si="0"/>
        <v>0.30094879275885061</v>
      </c>
      <c r="H67" s="3">
        <f t="shared" si="1"/>
        <v>3.0094879275885064E-3</v>
      </c>
      <c r="K67">
        <v>1673050.14495233</v>
      </c>
      <c r="L67">
        <v>4018.2015976406101</v>
      </c>
      <c r="M67">
        <v>252161.585326181</v>
      </c>
      <c r="N67">
        <v>11058372.605283299</v>
      </c>
      <c r="O67">
        <v>12987602.537159501</v>
      </c>
      <c r="P67" s="1">
        <f t="shared" si="2"/>
        <v>3.6323084835705143E-2</v>
      </c>
      <c r="Q67" s="3">
        <f t="shared" si="3"/>
        <v>3.6323084835705141E-4</v>
      </c>
      <c r="T67">
        <f t="shared" si="4"/>
        <v>8.2853313291007069</v>
      </c>
    </row>
    <row r="68" spans="1:20" x14ac:dyDescent="0.25">
      <c r="A68" t="s">
        <v>76</v>
      </c>
      <c r="B68">
        <v>5404017.0260626096</v>
      </c>
      <c r="C68">
        <v>30262.805335029901</v>
      </c>
      <c r="D68">
        <v>1589854.0610412001</v>
      </c>
      <c r="E68">
        <v>6630910.5589126404</v>
      </c>
      <c r="F68">
        <v>13655044.4513514</v>
      </c>
      <c r="G68" s="1">
        <f t="shared" ref="G68:G102" si="5">(C68/(C68+E68))*100</f>
        <v>0.45431643466087535</v>
      </c>
      <c r="H68" s="3">
        <f t="shared" ref="H68:H102" si="6">(C68/(C68+E68))</f>
        <v>4.5431643466087536E-3</v>
      </c>
      <c r="K68">
        <v>2552272.9769852301</v>
      </c>
      <c r="L68">
        <v>27846.7854341157</v>
      </c>
      <c r="M68">
        <v>368599.12265072501</v>
      </c>
      <c r="N68">
        <v>15584902.6001075</v>
      </c>
      <c r="O68">
        <v>18533621.485177599</v>
      </c>
      <c r="P68" s="1">
        <f t="shared" ref="P68:P102" si="7">(L68/(L68+N68))*100</f>
        <v>0.17835926745806582</v>
      </c>
      <c r="Q68" s="3">
        <f t="shared" ref="Q68:Q102" si="8">(L68/(L68+N68))</f>
        <v>1.7835926745806583E-3</v>
      </c>
      <c r="T68">
        <f t="shared" ref="T68:T102" si="9">H68/Q68</f>
        <v>2.5471983661723101</v>
      </c>
    </row>
    <row r="69" spans="1:20" x14ac:dyDescent="0.25">
      <c r="A69" t="s">
        <v>77</v>
      </c>
      <c r="B69">
        <v>2829058.6382645401</v>
      </c>
      <c r="C69">
        <v>9884.0282864466608</v>
      </c>
      <c r="D69">
        <v>475761.02678189398</v>
      </c>
      <c r="E69">
        <v>7202266.8139767703</v>
      </c>
      <c r="F69">
        <v>10516970.507309601</v>
      </c>
      <c r="G69" s="1">
        <f t="shared" si="5"/>
        <v>0.13704688798972753</v>
      </c>
      <c r="H69" s="3">
        <f t="shared" si="6"/>
        <v>1.3704688798972752E-3</v>
      </c>
      <c r="I69" s="2"/>
      <c r="K69">
        <v>2253297.2884297101</v>
      </c>
      <c r="L69">
        <v>7045.2702545644097</v>
      </c>
      <c r="M69">
        <v>511172.01272345701</v>
      </c>
      <c r="N69">
        <v>17230571.302921001</v>
      </c>
      <c r="O69">
        <v>20002085.874328699</v>
      </c>
      <c r="P69" s="1">
        <f t="shared" si="7"/>
        <v>4.0871487218992655E-2</v>
      </c>
      <c r="Q69" s="3">
        <f t="shared" si="8"/>
        <v>4.0871487218992653E-4</v>
      </c>
      <c r="T69">
        <f t="shared" si="9"/>
        <v>3.353117229510624</v>
      </c>
    </row>
    <row r="70" spans="1:20" x14ac:dyDescent="0.25">
      <c r="A70" t="s">
        <v>78</v>
      </c>
      <c r="B70">
        <v>3154458.0622084499</v>
      </c>
      <c r="C70">
        <v>44271.279939823798</v>
      </c>
      <c r="D70">
        <v>1536587.30130598</v>
      </c>
      <c r="E70">
        <v>7611238.3147270503</v>
      </c>
      <c r="F70">
        <v>12346554.958181299</v>
      </c>
      <c r="G70" s="1">
        <f t="shared" si="5"/>
        <v>0.57829305015390342</v>
      </c>
      <c r="H70" s="3">
        <f t="shared" si="6"/>
        <v>5.7829305015390346E-3</v>
      </c>
      <c r="K70">
        <v>5175761.5813684501</v>
      </c>
      <c r="L70">
        <v>17534.3227221466</v>
      </c>
      <c r="M70">
        <v>981249.12371918105</v>
      </c>
      <c r="N70">
        <v>25256751.843871702</v>
      </c>
      <c r="O70">
        <v>31431296.8716815</v>
      </c>
      <c r="P70" s="1">
        <f t="shared" si="7"/>
        <v>6.937613433103601E-2</v>
      </c>
      <c r="Q70" s="3">
        <f t="shared" si="8"/>
        <v>6.9376134331036005E-4</v>
      </c>
      <c r="T70">
        <f t="shared" si="9"/>
        <v>8.3356193845352244</v>
      </c>
    </row>
    <row r="71" spans="1:20" x14ac:dyDescent="0.25">
      <c r="A71" t="s">
        <v>79</v>
      </c>
      <c r="B71">
        <v>2245740.20225849</v>
      </c>
      <c r="C71">
        <v>8089.8903600117601</v>
      </c>
      <c r="D71">
        <v>533486.96950219898</v>
      </c>
      <c r="E71">
        <v>2428587.5154720298</v>
      </c>
      <c r="F71">
        <v>5215904.5775927398</v>
      </c>
      <c r="G71" s="1">
        <f t="shared" si="5"/>
        <v>0.33200498107172877</v>
      </c>
      <c r="H71" s="3">
        <f t="shared" si="6"/>
        <v>3.3200498107172874E-3</v>
      </c>
      <c r="I71" s="1"/>
      <c r="J71" s="1"/>
      <c r="K71">
        <v>1744169.4293342601</v>
      </c>
      <c r="L71">
        <v>28404.503930707899</v>
      </c>
      <c r="M71">
        <v>284136.14167599799</v>
      </c>
      <c r="N71">
        <v>12221608.724365599</v>
      </c>
      <c r="O71">
        <v>14278318.799306599</v>
      </c>
      <c r="P71" s="1">
        <f t="shared" si="7"/>
        <v>0.23187325108430359</v>
      </c>
      <c r="Q71" s="3">
        <f t="shared" si="8"/>
        <v>2.3187325108430358E-3</v>
      </c>
      <c r="T71">
        <f t="shared" si="9"/>
        <v>1.4318382112605978</v>
      </c>
    </row>
    <row r="72" spans="1:20" x14ac:dyDescent="0.25">
      <c r="A72" t="s">
        <v>80</v>
      </c>
      <c r="B72">
        <v>3431176.7778411498</v>
      </c>
      <c r="C72">
        <v>55769.272214289696</v>
      </c>
      <c r="D72">
        <v>966607.86478417297</v>
      </c>
      <c r="E72">
        <v>6832688.1704667201</v>
      </c>
      <c r="F72">
        <v>11286242.0853063</v>
      </c>
      <c r="G72" s="1">
        <f t="shared" si="5"/>
        <v>0.80960465646114399</v>
      </c>
      <c r="H72" s="3">
        <f t="shared" si="6"/>
        <v>8.09604656461144E-3</v>
      </c>
      <c r="K72">
        <v>4762477.4441742096</v>
      </c>
      <c r="L72">
        <v>11368.370331362899</v>
      </c>
      <c r="M72">
        <v>481712.06901787402</v>
      </c>
      <c r="N72">
        <v>19569322.466504801</v>
      </c>
      <c r="O72">
        <v>24824880.350028299</v>
      </c>
      <c r="P72" s="1">
        <f t="shared" si="7"/>
        <v>5.8059087016358785E-2</v>
      </c>
      <c r="Q72" s="3">
        <f t="shared" si="8"/>
        <v>5.8059087016358786E-4</v>
      </c>
      <c r="T72">
        <f t="shared" si="9"/>
        <v>13.944495135327033</v>
      </c>
    </row>
    <row r="73" spans="1:20" x14ac:dyDescent="0.25">
      <c r="A73" t="s">
        <v>81</v>
      </c>
      <c r="B73">
        <v>5474665.4618434003</v>
      </c>
      <c r="C73">
        <v>606870.10483539302</v>
      </c>
      <c r="D73">
        <v>2204472.4642233602</v>
      </c>
      <c r="E73">
        <v>10005544.3878753</v>
      </c>
      <c r="F73">
        <v>18291552.418777499</v>
      </c>
      <c r="G73" s="1">
        <f t="shared" si="5"/>
        <v>5.7184922927033384</v>
      </c>
      <c r="H73" s="3">
        <f t="shared" si="6"/>
        <v>5.718492292703338E-2</v>
      </c>
      <c r="I73" s="1"/>
      <c r="J73" s="1"/>
      <c r="K73">
        <v>2131641.4922640701</v>
      </c>
      <c r="L73">
        <v>48675.451288445598</v>
      </c>
      <c r="M73">
        <v>459022.91593608301</v>
      </c>
      <c r="N73">
        <v>15765596.284823401</v>
      </c>
      <c r="O73">
        <v>18404936.144312002</v>
      </c>
      <c r="P73" s="1">
        <f t="shared" si="7"/>
        <v>0.30779445364717833</v>
      </c>
      <c r="Q73" s="3">
        <f t="shared" si="8"/>
        <v>3.0779445364717832E-3</v>
      </c>
      <c r="R73" s="1"/>
      <c r="T73">
        <f t="shared" si="9"/>
        <v>18.578932222275807</v>
      </c>
    </row>
    <row r="74" spans="1:20" x14ac:dyDescent="0.25">
      <c r="A74" t="s">
        <v>82</v>
      </c>
      <c r="B74">
        <v>2230222.26275896</v>
      </c>
      <c r="C74">
        <v>23114.566823767102</v>
      </c>
      <c r="D74">
        <v>827806.13958496205</v>
      </c>
      <c r="E74">
        <v>4075891.6959314002</v>
      </c>
      <c r="F74">
        <v>7157034.66509909</v>
      </c>
      <c r="G74" s="1">
        <f t="shared" si="5"/>
        <v>0.56390659935782905</v>
      </c>
      <c r="H74" s="3">
        <f t="shared" si="6"/>
        <v>5.6390659935782904E-3</v>
      </c>
      <c r="K74">
        <v>1331903.8792540401</v>
      </c>
      <c r="L74">
        <v>9299.7595040601791</v>
      </c>
      <c r="M74">
        <v>296079.99997859902</v>
      </c>
      <c r="N74">
        <v>10658811.9759103</v>
      </c>
      <c r="O74">
        <v>12296095.614646999</v>
      </c>
      <c r="P74" s="1">
        <f t="shared" si="7"/>
        <v>8.7173435512380937E-2</v>
      </c>
      <c r="Q74" s="3">
        <f t="shared" si="8"/>
        <v>8.7173435512380936E-4</v>
      </c>
      <c r="T74">
        <f t="shared" si="9"/>
        <v>6.4687894430607749</v>
      </c>
    </row>
    <row r="75" spans="1:20" x14ac:dyDescent="0.25">
      <c r="A75" t="s">
        <v>83</v>
      </c>
      <c r="B75">
        <v>2708172.4750293</v>
      </c>
      <c r="C75">
        <v>5750670.5402879603</v>
      </c>
      <c r="D75">
        <v>25416.0183767407</v>
      </c>
      <c r="E75">
        <v>693372.400397697</v>
      </c>
      <c r="F75">
        <v>9177631.4340917002</v>
      </c>
      <c r="G75" s="1">
        <f t="shared" si="5"/>
        <v>89.240102730849884</v>
      </c>
      <c r="H75" s="3">
        <f t="shared" si="6"/>
        <v>0.8924010273084988</v>
      </c>
      <c r="K75">
        <v>1063279.68754493</v>
      </c>
      <c r="L75">
        <v>234083.910027645</v>
      </c>
      <c r="M75">
        <v>244609.13461350201</v>
      </c>
      <c r="N75">
        <v>9191532.2615770493</v>
      </c>
      <c r="O75">
        <v>10733504.9937631</v>
      </c>
      <c r="P75" s="1">
        <f t="shared" si="7"/>
        <v>2.483486551604325</v>
      </c>
      <c r="Q75" s="3">
        <f t="shared" si="8"/>
        <v>2.4834865516043247E-2</v>
      </c>
      <c r="T75">
        <f t="shared" si="9"/>
        <v>35.933394796601995</v>
      </c>
    </row>
    <row r="76" spans="1:20" x14ac:dyDescent="0.25">
      <c r="A76" t="s">
        <v>84</v>
      </c>
      <c r="B76">
        <v>5246897.4612652501</v>
      </c>
      <c r="C76">
        <v>42074.882512358097</v>
      </c>
      <c r="D76">
        <v>1636217.0879661499</v>
      </c>
      <c r="E76">
        <v>6878159.7756945901</v>
      </c>
      <c r="F76">
        <v>13803349.207438299</v>
      </c>
      <c r="G76" s="1">
        <f t="shared" si="5"/>
        <v>0.60799791611777254</v>
      </c>
      <c r="H76" s="3">
        <f t="shared" si="6"/>
        <v>6.0799791611777249E-3</v>
      </c>
      <c r="K76">
        <v>4636426.6039850703</v>
      </c>
      <c r="L76">
        <v>18567.9500572754</v>
      </c>
      <c r="M76">
        <v>883246.99235553399</v>
      </c>
      <c r="N76">
        <v>24887680.496316802</v>
      </c>
      <c r="O76">
        <v>30425922.0427147</v>
      </c>
      <c r="P76" s="1">
        <f t="shared" si="7"/>
        <v>7.4551372509008174E-2</v>
      </c>
      <c r="Q76" s="3">
        <f t="shared" si="8"/>
        <v>7.4551372509008178E-4</v>
      </c>
      <c r="T76">
        <f t="shared" si="9"/>
        <v>8.1554221693813478</v>
      </c>
    </row>
    <row r="77" spans="1:20" x14ac:dyDescent="0.25">
      <c r="A77" t="s">
        <v>85</v>
      </c>
      <c r="B77">
        <v>1764187.9338744399</v>
      </c>
      <c r="C77">
        <v>21041.945859094601</v>
      </c>
      <c r="D77">
        <v>491082.79451754899</v>
      </c>
      <c r="E77">
        <v>4565497.3395123295</v>
      </c>
      <c r="F77">
        <v>6841810.0137634203</v>
      </c>
      <c r="G77" s="1">
        <f t="shared" si="5"/>
        <v>0.45877609565466959</v>
      </c>
      <c r="H77" s="3">
        <f t="shared" si="6"/>
        <v>4.5877609565466958E-3</v>
      </c>
      <c r="I77" s="1"/>
      <c r="J77" s="1"/>
      <c r="K77">
        <v>3723383.4341121502</v>
      </c>
      <c r="L77">
        <v>14774.183887558</v>
      </c>
      <c r="M77">
        <v>844019.74232524296</v>
      </c>
      <c r="N77">
        <v>22172991.444557101</v>
      </c>
      <c r="O77">
        <v>26755168.804882001</v>
      </c>
      <c r="P77" s="1">
        <f t="shared" si="7"/>
        <v>6.6587073862983015E-2</v>
      </c>
      <c r="Q77" s="3">
        <f t="shared" si="8"/>
        <v>6.6587073862983009E-4</v>
      </c>
      <c r="T77">
        <f t="shared" si="9"/>
        <v>6.8898671925229582</v>
      </c>
    </row>
    <row r="78" spans="1:20" x14ac:dyDescent="0.25">
      <c r="A78" t="s">
        <v>86</v>
      </c>
      <c r="B78">
        <v>2726591.6042418699</v>
      </c>
      <c r="C78">
        <v>30938.099626469</v>
      </c>
      <c r="D78">
        <v>518416.62895880302</v>
      </c>
      <c r="E78">
        <v>4724129.9882400399</v>
      </c>
      <c r="F78">
        <v>8000076.3210671898</v>
      </c>
      <c r="G78" s="1">
        <f t="shared" si="5"/>
        <v>0.65063420869647781</v>
      </c>
      <c r="H78" s="3">
        <f t="shared" si="6"/>
        <v>6.5063420869647783E-3</v>
      </c>
      <c r="K78">
        <v>2170044.7088765302</v>
      </c>
      <c r="L78">
        <v>46081.613094988403</v>
      </c>
      <c r="M78">
        <v>190903.987106193</v>
      </c>
      <c r="N78">
        <v>13687110.0204024</v>
      </c>
      <c r="O78">
        <v>16094140.3294801</v>
      </c>
      <c r="P78" s="1">
        <f t="shared" si="7"/>
        <v>0.33554918859930699</v>
      </c>
      <c r="Q78" s="3">
        <f t="shared" si="8"/>
        <v>3.3554918859930701E-3</v>
      </c>
      <c r="T78">
        <f t="shared" si="9"/>
        <v>1.9390129101859541</v>
      </c>
    </row>
    <row r="79" spans="1:20" x14ac:dyDescent="0.25">
      <c r="A79" t="s">
        <v>87</v>
      </c>
      <c r="B79">
        <v>2355003.84376011</v>
      </c>
      <c r="C79">
        <v>21363.066340583398</v>
      </c>
      <c r="D79">
        <v>223617.99105991301</v>
      </c>
      <c r="E79">
        <v>5218471.0170499003</v>
      </c>
      <c r="F79">
        <v>7818455.9182105102</v>
      </c>
      <c r="G79" s="1">
        <f t="shared" si="5"/>
        <v>0.40770501509391738</v>
      </c>
      <c r="H79" s="3">
        <f t="shared" si="6"/>
        <v>4.077050150939174E-3</v>
      </c>
      <c r="K79">
        <v>1628146.9814823801</v>
      </c>
      <c r="L79">
        <v>9121.2409820572593</v>
      </c>
      <c r="M79">
        <v>195972.45590068499</v>
      </c>
      <c r="N79">
        <v>15126166.070907099</v>
      </c>
      <c r="O79">
        <v>16959406.749272201</v>
      </c>
      <c r="P79" s="1">
        <f t="shared" si="7"/>
        <v>6.026473626894608E-2</v>
      </c>
      <c r="Q79" s="3">
        <f t="shared" si="8"/>
        <v>6.0264736268946081E-4</v>
      </c>
      <c r="T79">
        <f t="shared" si="9"/>
        <v>6.7652335401325638</v>
      </c>
    </row>
    <row r="80" spans="1:20" x14ac:dyDescent="0.25">
      <c r="A80" t="s">
        <v>88</v>
      </c>
      <c r="B80">
        <v>2170638.7430988201</v>
      </c>
      <c r="C80">
        <v>2641095.1563311401</v>
      </c>
      <c r="D80">
        <v>631853.03541961405</v>
      </c>
      <c r="E80">
        <v>3789486.86386903</v>
      </c>
      <c r="F80">
        <v>9233073.7987186201</v>
      </c>
      <c r="G80" s="1">
        <f t="shared" si="5"/>
        <v>41.070857164013411</v>
      </c>
      <c r="H80" s="3">
        <f t="shared" si="6"/>
        <v>0.41070857164013413</v>
      </c>
      <c r="K80">
        <v>1846543.335097</v>
      </c>
      <c r="L80">
        <v>144377.39216776099</v>
      </c>
      <c r="M80">
        <v>218806.004043236</v>
      </c>
      <c r="N80">
        <v>13407686.4876811</v>
      </c>
      <c r="O80">
        <v>15617413.2189891</v>
      </c>
      <c r="P80" s="1">
        <f t="shared" si="7"/>
        <v>1.0653535391199112</v>
      </c>
      <c r="Q80" s="3">
        <f t="shared" si="8"/>
        <v>1.0653535391199112E-2</v>
      </c>
      <c r="T80">
        <f t="shared" si="9"/>
        <v>38.551387549659864</v>
      </c>
    </row>
    <row r="81" spans="1:20" x14ac:dyDescent="0.25">
      <c r="A81" t="s">
        <v>89</v>
      </c>
      <c r="B81">
        <v>1174150.0906609499</v>
      </c>
      <c r="C81">
        <v>16777.390341818998</v>
      </c>
      <c r="D81">
        <v>137310.52574786899</v>
      </c>
      <c r="E81">
        <v>5132625.4482446602</v>
      </c>
      <c r="F81">
        <v>6460863.4549952997</v>
      </c>
      <c r="G81" s="1">
        <f t="shared" si="5"/>
        <v>0.32581234888246619</v>
      </c>
      <c r="H81" s="3">
        <f t="shared" si="6"/>
        <v>3.2581234888246621E-3</v>
      </c>
      <c r="K81">
        <v>538028.02337696101</v>
      </c>
      <c r="L81">
        <v>3095.0471033126901</v>
      </c>
      <c r="M81">
        <v>173294.69976220801</v>
      </c>
      <c r="N81">
        <v>10805017.1507944</v>
      </c>
      <c r="O81">
        <v>11519434.9210368</v>
      </c>
      <c r="P81" s="1">
        <f t="shared" si="7"/>
        <v>2.8636333955847609E-2</v>
      </c>
      <c r="Q81" s="3">
        <f t="shared" si="8"/>
        <v>2.863633395584761E-4</v>
      </c>
      <c r="T81">
        <f t="shared" si="9"/>
        <v>11.377585880399838</v>
      </c>
    </row>
    <row r="82" spans="1:20" x14ac:dyDescent="0.25">
      <c r="A82" t="s">
        <v>90</v>
      </c>
      <c r="B82">
        <v>3756990.91194438</v>
      </c>
      <c r="C82">
        <v>29925.332541851501</v>
      </c>
      <c r="D82">
        <v>1373719.2564094299</v>
      </c>
      <c r="E82">
        <v>4117005.9269394702</v>
      </c>
      <c r="F82">
        <v>9277641.4278351404</v>
      </c>
      <c r="G82" s="1">
        <f t="shared" si="5"/>
        <v>0.72162596072533935</v>
      </c>
      <c r="H82" s="3">
        <f t="shared" si="6"/>
        <v>7.2162596072533934E-3</v>
      </c>
      <c r="K82">
        <v>1346298.63387332</v>
      </c>
      <c r="L82">
        <v>39658.718223693402</v>
      </c>
      <c r="M82">
        <v>191663.76220900801</v>
      </c>
      <c r="N82">
        <v>20358659.4834079</v>
      </c>
      <c r="O82">
        <v>21936280.597713899</v>
      </c>
      <c r="P82" s="1">
        <f t="shared" si="7"/>
        <v>0.19442150981114331</v>
      </c>
      <c r="Q82" s="3">
        <f t="shared" si="8"/>
        <v>1.944215098111433E-3</v>
      </c>
      <c r="T82">
        <f t="shared" si="9"/>
        <v>3.7116570148349872</v>
      </c>
    </row>
    <row r="83" spans="1:20" x14ac:dyDescent="0.25">
      <c r="A83" t="s">
        <v>91</v>
      </c>
      <c r="B83">
        <v>2403609.86799542</v>
      </c>
      <c r="C83">
        <v>30258.0594325815</v>
      </c>
      <c r="D83">
        <v>330947.37320695003</v>
      </c>
      <c r="E83">
        <v>3324392.6195022999</v>
      </c>
      <c r="F83">
        <v>6089207.9201372499</v>
      </c>
      <c r="G83" s="1">
        <f t="shared" si="5"/>
        <v>0.90197347886572155</v>
      </c>
      <c r="H83" s="3">
        <f t="shared" si="6"/>
        <v>9.0197347886572157E-3</v>
      </c>
      <c r="K83">
        <v>1097056.90119525</v>
      </c>
      <c r="L83">
        <v>8019.4182406223599</v>
      </c>
      <c r="M83">
        <v>273084.14883398899</v>
      </c>
      <c r="N83">
        <v>11651099.613356899</v>
      </c>
      <c r="O83">
        <v>13029260.081626801</v>
      </c>
      <c r="P83" s="1">
        <f t="shared" si="7"/>
        <v>6.8782368709752739E-2</v>
      </c>
      <c r="Q83" s="3">
        <f t="shared" si="8"/>
        <v>6.8782368709752737E-4</v>
      </c>
      <c r="T83">
        <f t="shared" si="9"/>
        <v>13.113440199651478</v>
      </c>
    </row>
    <row r="84" spans="1:20" x14ac:dyDescent="0.25">
      <c r="A84" t="s">
        <v>92</v>
      </c>
      <c r="B84">
        <v>6339196.5725722397</v>
      </c>
      <c r="C84">
        <v>3623.4808689504398</v>
      </c>
      <c r="D84">
        <v>3426729.38042635</v>
      </c>
      <c r="E84">
        <v>4490714.7952062599</v>
      </c>
      <c r="F84">
        <v>14260264.2290738</v>
      </c>
      <c r="G84" s="1">
        <f t="shared" si="5"/>
        <v>8.0623234086303189E-2</v>
      </c>
      <c r="H84" s="3">
        <f t="shared" si="6"/>
        <v>8.0623234086303185E-4</v>
      </c>
      <c r="K84">
        <v>2925951.6913501201</v>
      </c>
      <c r="L84">
        <v>7494.7626421134</v>
      </c>
      <c r="M84">
        <v>682364.73403076804</v>
      </c>
      <c r="N84">
        <v>20207751.951732699</v>
      </c>
      <c r="O84">
        <v>23823563.1397557</v>
      </c>
      <c r="P84" s="1">
        <f t="shared" si="7"/>
        <v>3.7074801747455137E-2</v>
      </c>
      <c r="Q84" s="3">
        <f t="shared" si="8"/>
        <v>3.7074801747455138E-4</v>
      </c>
      <c r="T84">
        <f t="shared" si="9"/>
        <v>2.1746099853881824</v>
      </c>
    </row>
    <row r="85" spans="1:20" x14ac:dyDescent="0.25">
      <c r="A85" t="s">
        <v>93</v>
      </c>
      <c r="B85">
        <v>1526453.0869656</v>
      </c>
      <c r="C85">
        <v>7616.1948991794898</v>
      </c>
      <c r="D85">
        <v>163994.77527088099</v>
      </c>
      <c r="E85">
        <v>3921301.8010457298</v>
      </c>
      <c r="F85">
        <v>5619365.85818139</v>
      </c>
      <c r="G85" s="1">
        <f t="shared" si="5"/>
        <v>0.19384967838576092</v>
      </c>
      <c r="H85" s="3">
        <f t="shared" si="6"/>
        <v>1.9384967838576091E-3</v>
      </c>
      <c r="I85" s="1"/>
      <c r="J85" s="1"/>
      <c r="K85">
        <v>697469.750074159</v>
      </c>
      <c r="L85">
        <v>1705.4445994334901</v>
      </c>
      <c r="M85">
        <v>214213.07344024</v>
      </c>
      <c r="N85">
        <v>8525691.2552587297</v>
      </c>
      <c r="O85">
        <v>9439079.5233725607</v>
      </c>
      <c r="P85" s="1">
        <f t="shared" si="7"/>
        <v>1.9999592600891396E-2</v>
      </c>
      <c r="Q85" s="3">
        <f t="shared" si="8"/>
        <v>1.9999592600891396E-4</v>
      </c>
      <c r="T85">
        <f t="shared" si="9"/>
        <v>9.6926813587753227</v>
      </c>
    </row>
    <row r="86" spans="1:20" x14ac:dyDescent="0.25">
      <c r="A86" t="s">
        <v>94</v>
      </c>
      <c r="B86">
        <v>4945672.8325330596</v>
      </c>
      <c r="C86">
        <v>33467.183689426798</v>
      </c>
      <c r="D86">
        <v>865195.69285606104</v>
      </c>
      <c r="E86">
        <v>7218914.7648312598</v>
      </c>
      <c r="F86">
        <v>13063250.473909801</v>
      </c>
      <c r="G86" s="1">
        <f t="shared" si="5"/>
        <v>0.46146471499964653</v>
      </c>
      <c r="H86" s="3">
        <f t="shared" si="6"/>
        <v>4.6146471499964653E-3</v>
      </c>
      <c r="K86">
        <v>2796379.2484801002</v>
      </c>
      <c r="L86">
        <v>19639.134214962702</v>
      </c>
      <c r="M86">
        <v>279804.21613165899</v>
      </c>
      <c r="N86">
        <v>13407107.8088826</v>
      </c>
      <c r="O86">
        <v>16502930.407709301</v>
      </c>
      <c r="P86" s="1">
        <f t="shared" si="7"/>
        <v>0.14626874475398385</v>
      </c>
      <c r="Q86" s="3">
        <f t="shared" si="8"/>
        <v>1.4626874475398386E-3</v>
      </c>
      <c r="T86">
        <f t="shared" si="9"/>
        <v>3.1549099281312989</v>
      </c>
    </row>
    <row r="87" spans="1:20" x14ac:dyDescent="0.25">
      <c r="A87" t="s">
        <v>95</v>
      </c>
      <c r="B87">
        <v>2914168.5160477101</v>
      </c>
      <c r="C87">
        <v>66484.340611059306</v>
      </c>
      <c r="D87">
        <v>540586.57497640105</v>
      </c>
      <c r="E87">
        <v>7268904.3657508204</v>
      </c>
      <c r="F87">
        <v>10790143.797386</v>
      </c>
      <c r="G87" s="1">
        <f t="shared" si="5"/>
        <v>0.90635061443163023</v>
      </c>
      <c r="H87" s="3">
        <f t="shared" si="6"/>
        <v>9.0635061443163027E-3</v>
      </c>
      <c r="K87">
        <v>2261616.6898366902</v>
      </c>
      <c r="L87">
        <v>20878.3155760306</v>
      </c>
      <c r="M87">
        <v>758336.66845966899</v>
      </c>
      <c r="N87">
        <v>16862439.355409902</v>
      </c>
      <c r="O87">
        <v>19903271.029282302</v>
      </c>
      <c r="P87" s="1">
        <f t="shared" si="7"/>
        <v>0.12366239848646625</v>
      </c>
      <c r="Q87" s="3">
        <f t="shared" si="8"/>
        <v>1.2366239848646625E-3</v>
      </c>
      <c r="T87">
        <f t="shared" si="9"/>
        <v>7.3292336678300982</v>
      </c>
    </row>
    <row r="88" spans="1:20" x14ac:dyDescent="0.25">
      <c r="A88" t="s">
        <v>96</v>
      </c>
      <c r="B88">
        <v>936860.29108126694</v>
      </c>
      <c r="C88">
        <v>15118.0555584623</v>
      </c>
      <c r="D88">
        <v>977967.89482620405</v>
      </c>
      <c r="E88">
        <v>4197384.9136304203</v>
      </c>
      <c r="F88">
        <v>6127331.1550963596</v>
      </c>
      <c r="G88" s="1">
        <f t="shared" si="5"/>
        <v>0.35888533893124541</v>
      </c>
      <c r="H88" s="3">
        <f t="shared" si="6"/>
        <v>3.5888533893124542E-3</v>
      </c>
      <c r="K88">
        <v>924708.51317616901</v>
      </c>
      <c r="L88">
        <v>767.68528948643495</v>
      </c>
      <c r="M88">
        <v>138524.68053531999</v>
      </c>
      <c r="N88">
        <v>15172058.331563501</v>
      </c>
      <c r="O88">
        <v>16236059.2105645</v>
      </c>
      <c r="P88" s="1">
        <f t="shared" si="7"/>
        <v>5.0596064875043055E-3</v>
      </c>
      <c r="Q88" s="3">
        <f t="shared" si="8"/>
        <v>5.0596064875043056E-5</v>
      </c>
      <c r="T88">
        <f t="shared" si="9"/>
        <v>70.931472599219603</v>
      </c>
    </row>
    <row r="89" spans="1:20" x14ac:dyDescent="0.25">
      <c r="A89" t="s">
        <v>97</v>
      </c>
      <c r="B89">
        <v>10247954.219484201</v>
      </c>
      <c r="C89">
        <v>9135.7774728979603</v>
      </c>
      <c r="D89">
        <v>2477408.82007012</v>
      </c>
      <c r="E89">
        <v>8678027.7695786692</v>
      </c>
      <c r="F89">
        <v>21412526.586605899</v>
      </c>
      <c r="G89" s="1">
        <f t="shared" si="5"/>
        <v>0.10516410130207177</v>
      </c>
      <c r="H89" s="3">
        <f t="shared" si="6"/>
        <v>1.0516410130207176E-3</v>
      </c>
      <c r="K89">
        <v>2502820.3962877798</v>
      </c>
      <c r="L89">
        <v>8269.6945932042709</v>
      </c>
      <c r="M89">
        <v>404221.40842522902</v>
      </c>
      <c r="N89">
        <v>20119679.849564999</v>
      </c>
      <c r="O89">
        <v>23034991.348871201</v>
      </c>
      <c r="P89" s="1">
        <f t="shared" si="7"/>
        <v>4.1085628593521634E-2</v>
      </c>
      <c r="Q89" s="3">
        <f t="shared" si="8"/>
        <v>4.1085628593521634E-4</v>
      </c>
      <c r="T89">
        <f t="shared" si="9"/>
        <v>2.5596322826774029</v>
      </c>
    </row>
    <row r="90" spans="1:20" x14ac:dyDescent="0.25">
      <c r="A90" t="s">
        <v>98</v>
      </c>
      <c r="B90">
        <v>4395075.8763500499</v>
      </c>
      <c r="C90">
        <v>43278.6993183335</v>
      </c>
      <c r="D90">
        <v>1424757.03494222</v>
      </c>
      <c r="E90">
        <v>7152674.4869536003</v>
      </c>
      <c r="F90">
        <v>13015786.0975642</v>
      </c>
      <c r="G90" s="1">
        <f t="shared" si="5"/>
        <v>0.60143108491726105</v>
      </c>
      <c r="H90" s="3">
        <f t="shared" si="6"/>
        <v>6.01431084917261E-3</v>
      </c>
      <c r="K90">
        <v>3064346.67145732</v>
      </c>
      <c r="L90">
        <v>43050.334910916899</v>
      </c>
      <c r="M90">
        <v>1487535.3823044801</v>
      </c>
      <c r="N90">
        <v>20942038.941120099</v>
      </c>
      <c r="O90">
        <v>25536971.329792801</v>
      </c>
      <c r="P90" s="1">
        <f t="shared" si="7"/>
        <v>0.2051472564383541</v>
      </c>
      <c r="Q90" s="3">
        <f t="shared" si="8"/>
        <v>2.0514725643835411E-3</v>
      </c>
      <c r="T90">
        <f t="shared" si="9"/>
        <v>2.9317042565372473</v>
      </c>
    </row>
    <row r="91" spans="1:20" x14ac:dyDescent="0.25">
      <c r="A91" t="s">
        <v>99</v>
      </c>
      <c r="B91">
        <v>3545955.5508033298</v>
      </c>
      <c r="C91">
        <v>17852.4075289424</v>
      </c>
      <c r="D91">
        <v>365849.84786092798</v>
      </c>
      <c r="E91">
        <v>3108553.9532320998</v>
      </c>
      <c r="F91">
        <v>7038211.7594253104</v>
      </c>
      <c r="G91" s="1">
        <f t="shared" si="5"/>
        <v>0.57102006165944141</v>
      </c>
      <c r="H91" s="3">
        <f t="shared" si="6"/>
        <v>5.7102006165944139E-3</v>
      </c>
      <c r="I91" s="1"/>
      <c r="J91" s="1"/>
      <c r="K91">
        <v>1956198.4781464001</v>
      </c>
      <c r="L91">
        <v>3025.8111964751702</v>
      </c>
      <c r="M91">
        <v>106991.76073734601</v>
      </c>
      <c r="N91">
        <v>9924336.4002356697</v>
      </c>
      <c r="O91">
        <v>11990552.4503159</v>
      </c>
      <c r="P91" s="1">
        <f t="shared" si="7"/>
        <v>3.0479508373238449E-2</v>
      </c>
      <c r="Q91" s="3">
        <f t="shared" si="8"/>
        <v>3.0479508373238448E-4</v>
      </c>
      <c r="R91" s="1"/>
      <c r="T91">
        <f t="shared" si="9"/>
        <v>18.734556170230331</v>
      </c>
    </row>
    <row r="92" spans="1:20" x14ac:dyDescent="0.25">
      <c r="A92" t="s">
        <v>100</v>
      </c>
      <c r="B92">
        <v>3097238.7223080499</v>
      </c>
      <c r="C92">
        <v>9367.7269137282801</v>
      </c>
      <c r="D92">
        <v>432583.21410159301</v>
      </c>
      <c r="E92">
        <v>3467276.0823491099</v>
      </c>
      <c r="F92">
        <v>7006465.7456724904</v>
      </c>
      <c r="G92" s="1">
        <f t="shared" si="5"/>
        <v>0.26944741617676798</v>
      </c>
      <c r="H92" s="3">
        <f t="shared" si="6"/>
        <v>2.6944741617676801E-3</v>
      </c>
      <c r="I92" s="1"/>
      <c r="J92" s="1"/>
      <c r="K92">
        <v>1059528.54123985</v>
      </c>
      <c r="L92">
        <v>1257.2092006883699</v>
      </c>
      <c r="M92">
        <v>626548.12191253202</v>
      </c>
      <c r="N92">
        <v>8038906.5910907397</v>
      </c>
      <c r="O92">
        <v>9726240.4634438194</v>
      </c>
      <c r="P92" s="1">
        <f t="shared" si="7"/>
        <v>1.5636611789461307E-2</v>
      </c>
      <c r="Q92" s="3">
        <f t="shared" si="8"/>
        <v>1.5636611789461309E-4</v>
      </c>
      <c r="T92">
        <f t="shared" si="9"/>
        <v>17.231828723814001</v>
      </c>
    </row>
    <row r="93" spans="1:20" x14ac:dyDescent="0.25">
      <c r="A93" t="s">
        <v>101</v>
      </c>
      <c r="B93">
        <v>5110726.7226142297</v>
      </c>
      <c r="C93">
        <v>7559.0121760237198</v>
      </c>
      <c r="D93">
        <v>805149.58489543095</v>
      </c>
      <c r="E93">
        <v>7570927.0644110898</v>
      </c>
      <c r="F93">
        <v>13494362.384096701</v>
      </c>
      <c r="G93" s="1">
        <f t="shared" si="5"/>
        <v>9.9743037060877421E-2</v>
      </c>
      <c r="H93" s="3">
        <f t="shared" si="6"/>
        <v>9.9743037060877424E-4</v>
      </c>
      <c r="K93">
        <v>1345640.2125457299</v>
      </c>
      <c r="L93">
        <v>4737.2886849578199</v>
      </c>
      <c r="M93">
        <v>268046.72599957098</v>
      </c>
      <c r="N93">
        <v>14899805.400187699</v>
      </c>
      <c r="O93">
        <v>16518229.627418</v>
      </c>
      <c r="P93" s="1">
        <f t="shared" si="7"/>
        <v>3.1784193476090718E-2</v>
      </c>
      <c r="Q93" s="3">
        <f t="shared" si="8"/>
        <v>3.1784193476090721E-4</v>
      </c>
      <c r="T93">
        <f t="shared" si="9"/>
        <v>3.1381333346057034</v>
      </c>
    </row>
    <row r="94" spans="1:20" ht="15.6" customHeight="1" x14ac:dyDescent="0.25">
      <c r="A94" t="s">
        <v>102</v>
      </c>
      <c r="B94">
        <v>2330173.6043900298</v>
      </c>
      <c r="C94">
        <v>1563436.70673163</v>
      </c>
      <c r="D94">
        <v>607266.72041002696</v>
      </c>
      <c r="E94">
        <v>7437565.4593777005</v>
      </c>
      <c r="F94">
        <v>11938442.490909399</v>
      </c>
      <c r="G94" s="1">
        <f t="shared" si="5"/>
        <v>17.369584829323767</v>
      </c>
      <c r="H94" s="3">
        <f t="shared" si="6"/>
        <v>0.17369584829323767</v>
      </c>
      <c r="I94" s="1"/>
      <c r="J94" s="1"/>
      <c r="K94">
        <v>2957937.1086494899</v>
      </c>
      <c r="L94">
        <v>160372.696532484</v>
      </c>
      <c r="M94">
        <v>441902.83715019102</v>
      </c>
      <c r="N94">
        <v>22629868.1349479</v>
      </c>
      <c r="O94">
        <v>26190080.7772801</v>
      </c>
      <c r="P94" s="1">
        <f t="shared" si="7"/>
        <v>0.70369022301405271</v>
      </c>
      <c r="Q94" s="3">
        <f t="shared" si="8"/>
        <v>7.0369022301405267E-3</v>
      </c>
      <c r="T94">
        <f t="shared" si="9"/>
        <v>24.683567088549555</v>
      </c>
    </row>
    <row r="95" spans="1:20" x14ac:dyDescent="0.25">
      <c r="A95" t="s">
        <v>103</v>
      </c>
      <c r="B95">
        <v>402960.89092059701</v>
      </c>
      <c r="C95">
        <v>19204.578624604801</v>
      </c>
      <c r="D95">
        <v>220268.37826148499</v>
      </c>
      <c r="E95">
        <v>4092012.2499828101</v>
      </c>
      <c r="F95">
        <v>4734446.0977894999</v>
      </c>
      <c r="G95" s="1">
        <f t="shared" si="5"/>
        <v>0.46712638679069463</v>
      </c>
      <c r="H95" s="3">
        <f t="shared" si="6"/>
        <v>4.6712638679069461E-3</v>
      </c>
      <c r="K95">
        <v>1364697.2783224401</v>
      </c>
      <c r="L95">
        <v>1206.2078794581</v>
      </c>
      <c r="M95">
        <v>175624.11019127001</v>
      </c>
      <c r="N95">
        <v>12627529.127212901</v>
      </c>
      <c r="O95">
        <v>14169056.7236061</v>
      </c>
      <c r="P95" s="1">
        <f t="shared" si="7"/>
        <v>9.5512958934718117E-3</v>
      </c>
      <c r="Q95" s="3">
        <f t="shared" si="8"/>
        <v>9.551295893471812E-5</v>
      </c>
      <c r="T95">
        <f t="shared" si="9"/>
        <v>48.907121295443218</v>
      </c>
    </row>
    <row r="96" spans="1:20" x14ac:dyDescent="0.25">
      <c r="A96" t="s">
        <v>104</v>
      </c>
      <c r="B96">
        <v>5006056.8100917498</v>
      </c>
      <c r="C96">
        <v>37886.740787460003</v>
      </c>
      <c r="D96">
        <v>2082384.76154568</v>
      </c>
      <c r="E96">
        <v>7625893.9604920298</v>
      </c>
      <c r="F96">
        <v>14752222.2729169</v>
      </c>
      <c r="G96" s="1">
        <f t="shared" si="5"/>
        <v>0.49436097226966202</v>
      </c>
      <c r="H96" s="3">
        <f t="shared" si="6"/>
        <v>4.9436097226966203E-3</v>
      </c>
      <c r="I96" s="1"/>
      <c r="J96" s="1"/>
      <c r="K96">
        <v>2086211.0915707001</v>
      </c>
      <c r="L96">
        <v>46171.048968623101</v>
      </c>
      <c r="M96">
        <v>374631.72127229499</v>
      </c>
      <c r="N96">
        <v>16906573.621339601</v>
      </c>
      <c r="O96">
        <v>19413587.483151201</v>
      </c>
      <c r="P96" s="1">
        <f t="shared" si="7"/>
        <v>0.27235146795721571</v>
      </c>
      <c r="Q96" s="3">
        <f t="shared" si="8"/>
        <v>2.723514679572157E-3</v>
      </c>
      <c r="T96">
        <f t="shared" si="9"/>
        <v>1.8151580969166001</v>
      </c>
    </row>
    <row r="97" spans="1:20" x14ac:dyDescent="0.25">
      <c r="A97" t="s">
        <v>105</v>
      </c>
      <c r="B97">
        <v>1074184.0999410399</v>
      </c>
      <c r="C97">
        <v>2400.2078188508899</v>
      </c>
      <c r="D97">
        <v>574983.38742251904</v>
      </c>
      <c r="E97">
        <v>2464453.4624474701</v>
      </c>
      <c r="F97">
        <v>4116021.1576298899</v>
      </c>
      <c r="G97" s="1">
        <f t="shared" si="5"/>
        <v>9.7298345977358439E-2</v>
      </c>
      <c r="H97" s="3">
        <f t="shared" si="6"/>
        <v>9.729834597735844E-4</v>
      </c>
      <c r="I97" s="1"/>
      <c r="J97" s="1"/>
      <c r="K97">
        <v>698654.82409685303</v>
      </c>
      <c r="L97">
        <v>823.55308764215897</v>
      </c>
      <c r="M97">
        <v>215060.321121138</v>
      </c>
      <c r="N97">
        <v>7253029.6135043604</v>
      </c>
      <c r="O97">
        <v>8167568.3118099999</v>
      </c>
      <c r="P97" s="1">
        <f t="shared" si="7"/>
        <v>1.1353318970324289E-2</v>
      </c>
      <c r="Q97" s="3">
        <f t="shared" si="8"/>
        <v>1.1353318970324289E-4</v>
      </c>
      <c r="T97">
        <f t="shared" si="9"/>
        <v>8.5700354435280417</v>
      </c>
    </row>
    <row r="98" spans="1:20" x14ac:dyDescent="0.25">
      <c r="A98" t="s">
        <v>106</v>
      </c>
      <c r="B98">
        <v>3182703.18900778</v>
      </c>
      <c r="C98">
        <v>4821.1180790452099</v>
      </c>
      <c r="D98">
        <v>879033.52403840004</v>
      </c>
      <c r="E98">
        <v>7454330.4176076204</v>
      </c>
      <c r="F98">
        <v>11520888.2487328</v>
      </c>
      <c r="G98" s="1">
        <f t="shared" si="5"/>
        <v>6.463359882125512E-2</v>
      </c>
      <c r="H98" s="3">
        <f t="shared" si="6"/>
        <v>6.4633598821255123E-4</v>
      </c>
      <c r="I98" s="1"/>
      <c r="J98" s="1"/>
      <c r="K98">
        <v>2734057.3987892698</v>
      </c>
      <c r="L98">
        <v>1490.42879389984</v>
      </c>
      <c r="M98">
        <v>1683350.04274544</v>
      </c>
      <c r="N98">
        <v>18755418.682082102</v>
      </c>
      <c r="O98">
        <v>23174316.552410699</v>
      </c>
      <c r="P98" s="1">
        <f t="shared" si="7"/>
        <v>7.9460255689762348E-3</v>
      </c>
      <c r="Q98" s="3">
        <f t="shared" si="8"/>
        <v>7.9460255689762347E-5</v>
      </c>
      <c r="T98">
        <f t="shared" si="9"/>
        <v>8.1340788876397383</v>
      </c>
    </row>
    <row r="99" spans="1:20" x14ac:dyDescent="0.25">
      <c r="A99" t="s">
        <v>107</v>
      </c>
      <c r="B99">
        <v>2953779.9858919499</v>
      </c>
      <c r="C99">
        <v>11240.6306718953</v>
      </c>
      <c r="D99">
        <v>312666.63273833599</v>
      </c>
      <c r="E99">
        <v>3888310.7635970199</v>
      </c>
      <c r="F99">
        <v>7165998.0128992004</v>
      </c>
      <c r="G99" s="1">
        <f t="shared" si="5"/>
        <v>0.28825445635658009</v>
      </c>
      <c r="H99" s="3">
        <f t="shared" si="6"/>
        <v>2.8825445635658007E-3</v>
      </c>
      <c r="K99">
        <v>860729.368761588</v>
      </c>
      <c r="L99">
        <v>2862.99616313565</v>
      </c>
      <c r="M99">
        <v>171524.68739770199</v>
      </c>
      <c r="N99">
        <v>8886124.2486018594</v>
      </c>
      <c r="O99">
        <v>9921241.30092429</v>
      </c>
      <c r="P99" s="1">
        <f t="shared" si="7"/>
        <v>3.2208350448716852E-2</v>
      </c>
      <c r="Q99" s="3">
        <f t="shared" si="8"/>
        <v>3.2208350448716854E-4</v>
      </c>
      <c r="T99">
        <f t="shared" si="9"/>
        <v>8.9496808231625486</v>
      </c>
    </row>
    <row r="100" spans="1:20" x14ac:dyDescent="0.25">
      <c r="A100" t="s">
        <v>108</v>
      </c>
      <c r="B100">
        <v>4088038.9991450799</v>
      </c>
      <c r="C100">
        <v>42549.386614303898</v>
      </c>
      <c r="D100">
        <v>840614.27710076899</v>
      </c>
      <c r="E100">
        <v>8285734.1653690496</v>
      </c>
      <c r="F100">
        <v>13256936.8282292</v>
      </c>
      <c r="G100" s="1">
        <f t="shared" si="5"/>
        <v>0.51090223271962076</v>
      </c>
      <c r="H100" s="3">
        <f t="shared" si="6"/>
        <v>5.109022327196208E-3</v>
      </c>
      <c r="K100">
        <v>2046359.6004407399</v>
      </c>
      <c r="L100">
        <v>5206.1626374976804</v>
      </c>
      <c r="M100">
        <v>1199585.62881483</v>
      </c>
      <c r="N100">
        <v>18028899.914184101</v>
      </c>
      <c r="O100">
        <v>21280051.306077201</v>
      </c>
      <c r="P100" s="1">
        <f t="shared" si="7"/>
        <v>2.8868426387870256E-2</v>
      </c>
      <c r="Q100" s="3">
        <f t="shared" si="8"/>
        <v>2.8868426387870257E-4</v>
      </c>
      <c r="T100">
        <f t="shared" si="9"/>
        <v>17.697612812532391</v>
      </c>
    </row>
    <row r="101" spans="1:20" x14ac:dyDescent="0.25">
      <c r="A101" t="s">
        <v>109</v>
      </c>
      <c r="B101">
        <v>1071660.0205846301</v>
      </c>
      <c r="C101">
        <v>1473.4153110099601</v>
      </c>
      <c r="D101">
        <v>202784.70377679099</v>
      </c>
      <c r="E101">
        <v>3196730.6045134999</v>
      </c>
      <c r="F101">
        <v>4472648.7441859404</v>
      </c>
      <c r="G101" s="1">
        <f t="shared" si="5"/>
        <v>4.6070085018866572E-2</v>
      </c>
      <c r="H101" s="3">
        <f t="shared" si="6"/>
        <v>4.607008501886657E-4</v>
      </c>
      <c r="K101">
        <v>1952329.9480024599</v>
      </c>
      <c r="L101">
        <v>640.14004031513002</v>
      </c>
      <c r="M101">
        <v>141741.82410696801</v>
      </c>
      <c r="N101">
        <v>15467851.9859464</v>
      </c>
      <c r="O101">
        <v>17562563.8980962</v>
      </c>
      <c r="P101" s="1">
        <f t="shared" si="7"/>
        <v>4.1383480374257639E-3</v>
      </c>
      <c r="Q101" s="3">
        <f t="shared" si="8"/>
        <v>4.1383480374257638E-5</v>
      </c>
      <c r="T101">
        <f t="shared" si="9"/>
        <v>11.132481995768584</v>
      </c>
    </row>
    <row r="102" spans="1:20" x14ac:dyDescent="0.25">
      <c r="A102" t="s">
        <v>110</v>
      </c>
      <c r="B102">
        <v>2905719.1916225702</v>
      </c>
      <c r="C102">
        <v>84179.575559211196</v>
      </c>
      <c r="D102">
        <v>822912.107713387</v>
      </c>
      <c r="E102">
        <v>8935982.4428759795</v>
      </c>
      <c r="F102">
        <v>12748793.3177711</v>
      </c>
      <c r="G102" s="1">
        <f t="shared" si="5"/>
        <v>0.93323795500753737</v>
      </c>
      <c r="H102" s="3">
        <f t="shared" si="6"/>
        <v>9.3323795500753742E-3</v>
      </c>
      <c r="K102">
        <v>1195931.56888858</v>
      </c>
      <c r="L102">
        <v>8572.1023465946</v>
      </c>
      <c r="M102">
        <v>362400.59781769302</v>
      </c>
      <c r="N102">
        <v>10961872.564952301</v>
      </c>
      <c r="O102">
        <v>12528776.834005101</v>
      </c>
      <c r="P102" s="1">
        <f t="shared" si="7"/>
        <v>7.8138148512308145E-2</v>
      </c>
      <c r="Q102" s="3">
        <f t="shared" si="8"/>
        <v>7.813814851230814E-4</v>
      </c>
      <c r="T102">
        <f t="shared" si="9"/>
        <v>11.943435732426344</v>
      </c>
    </row>
    <row r="103" spans="1:20" x14ac:dyDescent="0.25">
      <c r="A103" t="s">
        <v>114</v>
      </c>
      <c r="B103">
        <v>3381602.16182198</v>
      </c>
      <c r="C103">
        <v>58299.569185442502</v>
      </c>
      <c r="D103">
        <v>893900.81389114505</v>
      </c>
      <c r="E103">
        <v>7295848.23423211</v>
      </c>
      <c r="F103">
        <v>11629650.7791306</v>
      </c>
      <c r="G103" s="1">
        <f t="shared" ref="G103:G166" si="10">(C103/(C103+E103))*100</f>
        <v>0.79274405062065878</v>
      </c>
      <c r="H103" s="3">
        <f t="shared" ref="H103:H166" si="11">(C103/(C103+E103))</f>
        <v>7.9274405062065879E-3</v>
      </c>
      <c r="K103">
        <v>2782629.5091696298</v>
      </c>
      <c r="L103">
        <v>116438.79785348701</v>
      </c>
      <c r="M103">
        <v>887555.21644506196</v>
      </c>
      <c r="N103">
        <v>23917650.0050871</v>
      </c>
      <c r="O103">
        <v>27704273.5285553</v>
      </c>
      <c r="P103" s="1">
        <f t="shared" ref="P103:P166" si="12">(L103/(L103+N103))*100</f>
        <v>0.48447352761399731</v>
      </c>
      <c r="Q103" s="3">
        <f t="shared" ref="Q103:Q166" si="13">(L103/(L103+N103))</f>
        <v>4.8447352761399731E-3</v>
      </c>
      <c r="T103">
        <f t="shared" ref="T103:T166" si="14">H103/Q103</f>
        <v>1.6363000358861197</v>
      </c>
    </row>
    <row r="104" spans="1:20" x14ac:dyDescent="0.25">
      <c r="A104" t="s">
        <v>115</v>
      </c>
      <c r="B104">
        <v>1783813.8448057999</v>
      </c>
      <c r="C104">
        <v>1010533.48266077</v>
      </c>
      <c r="D104">
        <v>666991.52777559997</v>
      </c>
      <c r="E104">
        <v>6642002.6457593003</v>
      </c>
      <c r="F104">
        <v>10103341.501001401</v>
      </c>
      <c r="G104" s="1">
        <f t="shared" si="10"/>
        <v>13.205210216621388</v>
      </c>
      <c r="H104" s="3">
        <f t="shared" si="11"/>
        <v>0.13205210216621388</v>
      </c>
      <c r="K104">
        <v>614823.73081479897</v>
      </c>
      <c r="L104">
        <v>42389.4477039388</v>
      </c>
      <c r="M104">
        <v>517645.15972815797</v>
      </c>
      <c r="N104">
        <v>7729344.1508064</v>
      </c>
      <c r="O104">
        <v>8904202.4890532997</v>
      </c>
      <c r="P104" s="1">
        <f t="shared" si="12"/>
        <v>0.54543104400881515</v>
      </c>
      <c r="Q104" s="3">
        <f t="shared" si="13"/>
        <v>5.4543104400881512E-3</v>
      </c>
      <c r="T104">
        <f t="shared" si="14"/>
        <v>24.210595201119446</v>
      </c>
    </row>
    <row r="105" spans="1:20" x14ac:dyDescent="0.25">
      <c r="A105" t="s">
        <v>116</v>
      </c>
      <c r="B105">
        <v>2281657.9490423198</v>
      </c>
      <c r="C105">
        <v>66754.498536548301</v>
      </c>
      <c r="D105">
        <v>953435.96001867903</v>
      </c>
      <c r="E105">
        <v>5546667.7854977101</v>
      </c>
      <c r="F105">
        <v>8848516.1930952705</v>
      </c>
      <c r="G105" s="1">
        <f t="shared" si="10"/>
        <v>1.1891943124680284</v>
      </c>
      <c r="H105" s="3">
        <f t="shared" si="11"/>
        <v>1.1891943124680284E-2</v>
      </c>
      <c r="I105" s="1"/>
      <c r="J105" s="1"/>
      <c r="K105">
        <v>3112607.20877111</v>
      </c>
      <c r="L105">
        <v>24712.101141434599</v>
      </c>
      <c r="M105">
        <v>566797.98592734698</v>
      </c>
      <c r="N105">
        <v>21479456.091786701</v>
      </c>
      <c r="O105">
        <v>25183573.3876266</v>
      </c>
      <c r="P105" s="1">
        <f t="shared" si="12"/>
        <v>0.11491772627392965</v>
      </c>
      <c r="Q105" s="3">
        <f t="shared" si="13"/>
        <v>1.1491772627392966E-3</v>
      </c>
      <c r="T105">
        <f t="shared" si="14"/>
        <v>10.348223472794293</v>
      </c>
    </row>
    <row r="106" spans="1:20" x14ac:dyDescent="0.25">
      <c r="A106" t="s">
        <v>117</v>
      </c>
      <c r="B106">
        <v>2116325.5036725402</v>
      </c>
      <c r="C106">
        <v>517313.16078302503</v>
      </c>
      <c r="D106">
        <v>199612.34790421699</v>
      </c>
      <c r="E106">
        <v>5041611.1068363497</v>
      </c>
      <c r="F106">
        <v>7874862.1191961402</v>
      </c>
      <c r="G106" s="1">
        <f t="shared" si="10"/>
        <v>9.3059940355072666</v>
      </c>
      <c r="H106" s="3">
        <f t="shared" si="11"/>
        <v>9.3059940355072659E-2</v>
      </c>
      <c r="K106">
        <v>523302.79449718702</v>
      </c>
      <c r="L106">
        <v>84181.623462295698</v>
      </c>
      <c r="M106">
        <v>59254.9811081441</v>
      </c>
      <c r="N106">
        <v>5708694.2630204102</v>
      </c>
      <c r="O106">
        <v>6375433.6620880403</v>
      </c>
      <c r="P106" s="1">
        <f t="shared" si="12"/>
        <v>1.4531922504800761</v>
      </c>
      <c r="Q106" s="3">
        <f t="shared" si="13"/>
        <v>1.4531922504800761E-2</v>
      </c>
      <c r="T106">
        <f t="shared" si="14"/>
        <v>6.4038285591138688</v>
      </c>
    </row>
    <row r="107" spans="1:20" x14ac:dyDescent="0.25">
      <c r="A107" t="s">
        <v>118</v>
      </c>
      <c r="B107">
        <v>2077043.7992750001</v>
      </c>
      <c r="C107">
        <v>30430.98959266</v>
      </c>
      <c r="D107">
        <v>715187.77636356605</v>
      </c>
      <c r="E107">
        <v>5257257.1303772004</v>
      </c>
      <c r="F107">
        <v>8079919.6956084296</v>
      </c>
      <c r="G107" s="1">
        <f t="shared" si="10"/>
        <v>0.57550651442039769</v>
      </c>
      <c r="H107" s="3">
        <f t="shared" si="11"/>
        <v>5.7550651442039771E-3</v>
      </c>
      <c r="K107">
        <v>1717341.7767151999</v>
      </c>
      <c r="L107">
        <v>9885.33423698976</v>
      </c>
      <c r="M107">
        <v>526066.68297140405</v>
      </c>
      <c r="N107">
        <v>18280185.278827999</v>
      </c>
      <c r="O107">
        <v>20533479.0727516</v>
      </c>
      <c r="P107" s="1">
        <f t="shared" si="12"/>
        <v>5.4047545502248932E-2</v>
      </c>
      <c r="Q107" s="3">
        <f t="shared" si="13"/>
        <v>5.4047545502248931E-4</v>
      </c>
      <c r="T107">
        <f t="shared" si="14"/>
        <v>10.648152641759665</v>
      </c>
    </row>
    <row r="108" spans="1:20" x14ac:dyDescent="0.25">
      <c r="A108" t="s">
        <v>119</v>
      </c>
      <c r="B108">
        <v>1188429.46861154</v>
      </c>
      <c r="C108">
        <v>78409.351704293906</v>
      </c>
      <c r="D108">
        <v>378569.58180327999</v>
      </c>
      <c r="E108">
        <v>5663176.4658809397</v>
      </c>
      <c r="F108">
        <v>7308584.8680000603</v>
      </c>
      <c r="G108" s="1">
        <f t="shared" si="10"/>
        <v>1.3656392884374042</v>
      </c>
      <c r="H108" s="3">
        <f t="shared" si="11"/>
        <v>1.3656392884374043E-2</v>
      </c>
      <c r="K108">
        <v>1362108.3083742</v>
      </c>
      <c r="L108">
        <v>6578.8543583339397</v>
      </c>
      <c r="M108">
        <v>207396.68305635499</v>
      </c>
      <c r="N108">
        <v>23973286.975821801</v>
      </c>
      <c r="O108">
        <v>25549370.8216107</v>
      </c>
      <c r="P108" s="1">
        <f t="shared" si="12"/>
        <v>2.7434908956221297E-2</v>
      </c>
      <c r="Q108" s="3">
        <f t="shared" si="13"/>
        <v>2.7434908956221296E-4</v>
      </c>
      <c r="T108">
        <f t="shared" si="14"/>
        <v>49.777431031996336</v>
      </c>
    </row>
    <row r="109" spans="1:20" x14ac:dyDescent="0.25">
      <c r="A109" t="s">
        <v>120</v>
      </c>
      <c r="B109">
        <v>4160278.5169769698</v>
      </c>
      <c r="C109">
        <v>25654.525495681999</v>
      </c>
      <c r="D109">
        <v>1037570.07432763</v>
      </c>
      <c r="E109">
        <v>5557690.9671718096</v>
      </c>
      <c r="F109">
        <v>10781194.0839721</v>
      </c>
      <c r="G109" s="1">
        <f t="shared" si="10"/>
        <v>0.45948303807051943</v>
      </c>
      <c r="H109" s="3">
        <f t="shared" si="11"/>
        <v>4.5948303807051942E-3</v>
      </c>
      <c r="K109">
        <v>2069093.35756069</v>
      </c>
      <c r="L109">
        <v>5602.20982888662</v>
      </c>
      <c r="M109">
        <v>960217.79290883697</v>
      </c>
      <c r="N109">
        <v>12835685.497830899</v>
      </c>
      <c r="O109">
        <v>15870598.8581293</v>
      </c>
      <c r="P109" s="1">
        <f t="shared" si="12"/>
        <v>4.3626542418677527E-2</v>
      </c>
      <c r="Q109" s="3">
        <f t="shared" si="13"/>
        <v>4.362654241867753E-4</v>
      </c>
      <c r="T109">
        <f t="shared" si="14"/>
        <v>10.532190097966694</v>
      </c>
    </row>
    <row r="110" spans="1:20" x14ac:dyDescent="0.25">
      <c r="A110" t="s">
        <v>121</v>
      </c>
      <c r="B110">
        <v>593701.73360567703</v>
      </c>
      <c r="C110">
        <v>5241.3885125632096</v>
      </c>
      <c r="D110">
        <v>407286.86202803202</v>
      </c>
      <c r="E110">
        <v>2377413.6597408899</v>
      </c>
      <c r="F110">
        <v>3383643.6438871599</v>
      </c>
      <c r="G110" s="1">
        <f t="shared" si="10"/>
        <v>0.21998100465299331</v>
      </c>
      <c r="H110" s="3">
        <f t="shared" si="11"/>
        <v>2.1998100465299331E-3</v>
      </c>
      <c r="I110" s="1"/>
      <c r="J110" s="1"/>
      <c r="K110">
        <v>1252431.91078495</v>
      </c>
      <c r="L110">
        <v>4545.3709881834402</v>
      </c>
      <c r="M110">
        <v>217643.34371425799</v>
      </c>
      <c r="N110">
        <v>10001230.073477101</v>
      </c>
      <c r="O110">
        <v>11475850.698964501</v>
      </c>
      <c r="P110" s="1">
        <f t="shared" si="12"/>
        <v>4.5427473496796517E-2</v>
      </c>
      <c r="Q110" s="3">
        <f t="shared" si="13"/>
        <v>4.5427473496796513E-4</v>
      </c>
      <c r="T110">
        <f t="shared" si="14"/>
        <v>4.8424661932499085</v>
      </c>
    </row>
    <row r="111" spans="1:20" x14ac:dyDescent="0.25">
      <c r="A111" t="s">
        <v>122</v>
      </c>
      <c r="B111">
        <v>2235611.3054948398</v>
      </c>
      <c r="C111">
        <v>83821.075400088303</v>
      </c>
      <c r="D111">
        <v>499599.40945468599</v>
      </c>
      <c r="E111">
        <v>6445151.4817032702</v>
      </c>
      <c r="F111">
        <v>9264183.2720528897</v>
      </c>
      <c r="G111" s="1">
        <f t="shared" si="10"/>
        <v>1.2838325581395356</v>
      </c>
      <c r="H111" s="3">
        <f t="shared" si="11"/>
        <v>1.2838325581395357E-2</v>
      </c>
      <c r="K111">
        <v>2652187.6925671198</v>
      </c>
      <c r="L111">
        <v>6379.5653711454597</v>
      </c>
      <c r="M111">
        <v>245593.83170800001</v>
      </c>
      <c r="N111">
        <v>18740600.059105199</v>
      </c>
      <c r="O111">
        <v>21644761.148751501</v>
      </c>
      <c r="P111" s="1">
        <f t="shared" si="12"/>
        <v>3.4029830399005728E-2</v>
      </c>
      <c r="Q111" s="3">
        <f t="shared" si="13"/>
        <v>3.4029830399005725E-4</v>
      </c>
      <c r="T111">
        <f t="shared" si="14"/>
        <v>37.726681064418301</v>
      </c>
    </row>
    <row r="112" spans="1:20" x14ac:dyDescent="0.25">
      <c r="A112" t="s">
        <v>123</v>
      </c>
      <c r="B112">
        <v>3240898.9129759199</v>
      </c>
      <c r="C112">
        <v>59464.608659343998</v>
      </c>
      <c r="D112">
        <v>328254.26025348599</v>
      </c>
      <c r="E112">
        <v>5911346.20917245</v>
      </c>
      <c r="F112">
        <v>9539963.9910612106</v>
      </c>
      <c r="G112" s="1">
        <f t="shared" si="10"/>
        <v>0.99592183496675646</v>
      </c>
      <c r="H112" s="3">
        <f t="shared" si="11"/>
        <v>9.9592183496675646E-3</v>
      </c>
      <c r="K112">
        <v>2500149.4708867702</v>
      </c>
      <c r="L112">
        <v>88617.499287775907</v>
      </c>
      <c r="M112">
        <v>820543.33314672601</v>
      </c>
      <c r="N112">
        <v>21946845.111190401</v>
      </c>
      <c r="O112">
        <v>25356155.414511599</v>
      </c>
      <c r="P112" s="1">
        <f t="shared" si="12"/>
        <v>0.40215856074488321</v>
      </c>
      <c r="Q112" s="3">
        <f t="shared" si="13"/>
        <v>4.021585607448832E-3</v>
      </c>
      <c r="T112">
        <f t="shared" si="14"/>
        <v>2.4764407181140129</v>
      </c>
    </row>
    <row r="113" spans="1:21" x14ac:dyDescent="0.25">
      <c r="A113" t="s">
        <v>124</v>
      </c>
      <c r="B113">
        <v>561380.65142990602</v>
      </c>
      <c r="C113">
        <v>30618.797209165801</v>
      </c>
      <c r="D113">
        <v>42103.731061375998</v>
      </c>
      <c r="E113">
        <v>468501.487268981</v>
      </c>
      <c r="F113">
        <v>1102604.6669694199</v>
      </c>
      <c r="G113" s="1">
        <f t="shared" si="10"/>
        <v>6.1345527644061111</v>
      </c>
      <c r="H113" s="3">
        <f t="shared" si="11"/>
        <v>6.1345527644061114E-2</v>
      </c>
      <c r="I113" s="11" t="s">
        <v>214</v>
      </c>
      <c r="J113" s="1"/>
      <c r="K113">
        <v>2359193.6908481098</v>
      </c>
      <c r="L113">
        <v>29370.091550776298</v>
      </c>
      <c r="M113">
        <v>250138.33668789899</v>
      </c>
      <c r="N113">
        <v>11658632.696313599</v>
      </c>
      <c r="O113">
        <v>14297334.815400399</v>
      </c>
      <c r="P113" s="1">
        <f t="shared" si="12"/>
        <v>0.2512840909079111</v>
      </c>
      <c r="Q113" s="3">
        <f t="shared" si="13"/>
        <v>2.5128409090791107E-3</v>
      </c>
      <c r="T113">
        <f t="shared" si="14"/>
        <v>24.412817947373604</v>
      </c>
    </row>
    <row r="114" spans="1:21" x14ac:dyDescent="0.25">
      <c r="A114" t="s">
        <v>125</v>
      </c>
      <c r="B114">
        <v>3434321.1023754701</v>
      </c>
      <c r="C114">
        <v>85543.176002086897</v>
      </c>
      <c r="D114">
        <v>749957.70303043595</v>
      </c>
      <c r="E114">
        <v>5240701.7418490499</v>
      </c>
      <c r="F114">
        <v>9510523.7232570499</v>
      </c>
      <c r="G114" s="1">
        <f t="shared" si="10"/>
        <v>1.6060691410450407</v>
      </c>
      <c r="H114" s="3">
        <f t="shared" si="11"/>
        <v>1.6060691410450408E-2</v>
      </c>
      <c r="K114">
        <v>544615.45300381503</v>
      </c>
      <c r="L114">
        <v>19279.799064298899</v>
      </c>
      <c r="M114">
        <v>148381.08460813799</v>
      </c>
      <c r="N114">
        <v>11077337.797013599</v>
      </c>
      <c r="O114">
        <v>11789614.133689901</v>
      </c>
      <c r="P114" s="1">
        <f t="shared" si="12"/>
        <v>0.17374482717250117</v>
      </c>
      <c r="Q114" s="3">
        <f t="shared" si="13"/>
        <v>1.7374482717250118E-3</v>
      </c>
      <c r="T114">
        <f t="shared" si="14"/>
        <v>9.2438386062018854</v>
      </c>
    </row>
    <row r="115" spans="1:21" x14ac:dyDescent="0.25">
      <c r="A115" t="s">
        <v>126</v>
      </c>
      <c r="B115">
        <v>2732900.9395501302</v>
      </c>
      <c r="C115">
        <v>23018.5824439686</v>
      </c>
      <c r="D115">
        <v>1052599.0826818401</v>
      </c>
      <c r="E115">
        <v>3495815.7173030898</v>
      </c>
      <c r="F115">
        <v>7304334.3219790403</v>
      </c>
      <c r="G115" s="1">
        <f t="shared" si="10"/>
        <v>0.65415363393562542</v>
      </c>
      <c r="H115" s="3">
        <f t="shared" si="11"/>
        <v>6.5415363393562546E-3</v>
      </c>
      <c r="K115">
        <v>1658310.91140308</v>
      </c>
      <c r="L115">
        <v>23296.7489547691</v>
      </c>
      <c r="M115">
        <v>255969.06617877199</v>
      </c>
      <c r="N115">
        <v>13738865.044002499</v>
      </c>
      <c r="O115">
        <v>15676441.770539099</v>
      </c>
      <c r="P115" s="1">
        <f t="shared" si="12"/>
        <v>0.16928117330150208</v>
      </c>
      <c r="Q115" s="3">
        <f t="shared" si="13"/>
        <v>1.6928117330150209E-3</v>
      </c>
      <c r="T115">
        <f t="shared" si="14"/>
        <v>3.8643023389879878</v>
      </c>
    </row>
    <row r="116" spans="1:21" x14ac:dyDescent="0.25">
      <c r="A116" t="s">
        <v>127</v>
      </c>
      <c r="B116">
        <v>3557237.8617995498</v>
      </c>
      <c r="C116">
        <v>3243.2732226309299</v>
      </c>
      <c r="D116">
        <v>661474.68407362106</v>
      </c>
      <c r="E116">
        <v>3505667.3881415701</v>
      </c>
      <c r="F116">
        <v>7727623.2072373796</v>
      </c>
      <c r="G116" s="1">
        <f t="shared" si="10"/>
        <v>9.2429632316999605E-2</v>
      </c>
      <c r="H116" s="3">
        <f t="shared" si="11"/>
        <v>9.2429632316999599E-4</v>
      </c>
      <c r="K116">
        <v>4265911.2815804901</v>
      </c>
      <c r="L116">
        <v>7191.0777071067996</v>
      </c>
      <c r="M116">
        <v>558926.51478487602</v>
      </c>
      <c r="N116">
        <v>19916831.5363601</v>
      </c>
      <c r="O116">
        <v>24748860.410432499</v>
      </c>
      <c r="P116" s="1">
        <f t="shared" si="12"/>
        <v>3.6092499222669987E-2</v>
      </c>
      <c r="Q116" s="3">
        <f t="shared" si="13"/>
        <v>3.6092499222669988E-4</v>
      </c>
      <c r="T116">
        <f t="shared" si="14"/>
        <v>2.5609097266100047</v>
      </c>
    </row>
    <row r="117" spans="1:21" x14ac:dyDescent="0.25">
      <c r="A117" t="s">
        <v>128</v>
      </c>
      <c r="B117">
        <v>0</v>
      </c>
      <c r="C117">
        <v>0</v>
      </c>
      <c r="D117">
        <v>0</v>
      </c>
      <c r="E117">
        <v>0</v>
      </c>
      <c r="F117">
        <v>0</v>
      </c>
      <c r="G117" s="1"/>
      <c r="H117" s="3"/>
      <c r="I117" s="12" t="s">
        <v>215</v>
      </c>
      <c r="K117">
        <v>2226649.9130708701</v>
      </c>
      <c r="L117">
        <v>32080.6520478858</v>
      </c>
      <c r="M117">
        <v>821708.06380026101</v>
      </c>
      <c r="N117">
        <v>27623660.699533802</v>
      </c>
      <c r="O117">
        <v>30704099.328452799</v>
      </c>
      <c r="P117" s="1">
        <f t="shared" si="12"/>
        <v>0.11599997136236971</v>
      </c>
      <c r="Q117" s="3">
        <f t="shared" si="13"/>
        <v>1.1599997136236971E-3</v>
      </c>
    </row>
    <row r="118" spans="1:21" x14ac:dyDescent="0.25">
      <c r="A118" t="s">
        <v>129</v>
      </c>
      <c r="B118">
        <v>5844847.1469547497</v>
      </c>
      <c r="C118">
        <v>108739.291392742</v>
      </c>
      <c r="D118">
        <v>990675.57057827397</v>
      </c>
      <c r="E118">
        <v>8972769.2625406496</v>
      </c>
      <c r="F118">
        <v>15917031.2714664</v>
      </c>
      <c r="G118" s="1">
        <f t="shared" si="10"/>
        <v>1.1973703569947611</v>
      </c>
      <c r="H118" s="3">
        <f t="shared" si="11"/>
        <v>1.197370356994761E-2</v>
      </c>
      <c r="K118">
        <v>1281212.66251619</v>
      </c>
      <c r="L118">
        <v>46764.977036486198</v>
      </c>
      <c r="M118">
        <v>219723.359989138</v>
      </c>
      <c r="N118">
        <v>12648619.8717664</v>
      </c>
      <c r="O118">
        <v>14196320.8713082</v>
      </c>
      <c r="P118" s="1">
        <f t="shared" si="12"/>
        <v>0.36836202756701708</v>
      </c>
      <c r="Q118" s="3">
        <f t="shared" si="13"/>
        <v>3.683620275670171E-3</v>
      </c>
      <c r="T118">
        <f t="shared" si="14"/>
        <v>3.2505260243658536</v>
      </c>
    </row>
    <row r="119" spans="1:21" x14ac:dyDescent="0.25">
      <c r="A119" t="s">
        <v>130</v>
      </c>
      <c r="B119">
        <v>1857593.1299545399</v>
      </c>
      <c r="C119">
        <v>17133.453630573898</v>
      </c>
      <c r="D119">
        <v>825887.12684501999</v>
      </c>
      <c r="E119">
        <v>3256521.0945968302</v>
      </c>
      <c r="F119">
        <v>5957134.8050269699</v>
      </c>
      <c r="G119" s="1">
        <f t="shared" si="10"/>
        <v>0.52337390455114452</v>
      </c>
      <c r="H119" s="3">
        <f t="shared" si="11"/>
        <v>5.2337390455114456E-3</v>
      </c>
      <c r="K119">
        <v>1204380.36212738</v>
      </c>
      <c r="L119">
        <v>5020.3873700930098</v>
      </c>
      <c r="M119">
        <v>267030.43212071602</v>
      </c>
      <c r="N119">
        <v>11591592.198545</v>
      </c>
      <c r="O119">
        <v>13068023.3801632</v>
      </c>
      <c r="P119" s="1">
        <f t="shared" si="12"/>
        <v>4.3291843483593009E-2</v>
      </c>
      <c r="Q119" s="3">
        <f t="shared" si="13"/>
        <v>4.3291843483593009E-4</v>
      </c>
      <c r="T119">
        <f t="shared" si="14"/>
        <v>12.089434462394649</v>
      </c>
    </row>
    <row r="120" spans="1:21" x14ac:dyDescent="0.25">
      <c r="A120" t="s">
        <v>131</v>
      </c>
      <c r="B120">
        <v>6448282.0542992903</v>
      </c>
      <c r="C120">
        <v>29061.3842434252</v>
      </c>
      <c r="D120">
        <v>584049.40255283006</v>
      </c>
      <c r="E120">
        <v>6615883.3390024696</v>
      </c>
      <c r="F120">
        <v>13677276.180098001</v>
      </c>
      <c r="G120" s="1">
        <f t="shared" si="10"/>
        <v>0.43734576364134775</v>
      </c>
      <c r="H120" s="3">
        <f t="shared" si="11"/>
        <v>4.3734576364134773E-3</v>
      </c>
      <c r="K120">
        <v>1072102.0988670799</v>
      </c>
      <c r="L120">
        <v>39343.7089088629</v>
      </c>
      <c r="M120">
        <v>74420.222714396499</v>
      </c>
      <c r="N120">
        <v>8729342.5964404903</v>
      </c>
      <c r="O120">
        <v>9915208.6269308403</v>
      </c>
      <c r="P120" s="1">
        <f t="shared" si="12"/>
        <v>0.44868418756024142</v>
      </c>
      <c r="Q120" s="3">
        <f t="shared" si="13"/>
        <v>4.4868418756024145E-3</v>
      </c>
      <c r="T120">
        <f t="shared" si="14"/>
        <v>0.97472961108670364</v>
      </c>
      <c r="U120" t="s">
        <v>217</v>
      </c>
    </row>
    <row r="121" spans="1:21" x14ac:dyDescent="0.25">
      <c r="A121" t="s">
        <v>132</v>
      </c>
      <c r="B121">
        <v>3585331.90275686</v>
      </c>
      <c r="C121">
        <v>71609.000460873503</v>
      </c>
      <c r="D121">
        <v>1172036.1910993</v>
      </c>
      <c r="E121">
        <v>6494445.1170796501</v>
      </c>
      <c r="F121">
        <v>11323422.211396599</v>
      </c>
      <c r="G121" s="1">
        <f t="shared" si="10"/>
        <v>1.0905941251622886</v>
      </c>
      <c r="H121" s="3">
        <f t="shared" si="11"/>
        <v>1.0905941251622886E-2</v>
      </c>
      <c r="K121">
        <v>586220.34311677003</v>
      </c>
      <c r="L121">
        <v>8179.7904923246297</v>
      </c>
      <c r="M121">
        <v>148335.53245488601</v>
      </c>
      <c r="N121">
        <v>7218976.0727028102</v>
      </c>
      <c r="O121">
        <v>7961711.7387667904</v>
      </c>
      <c r="P121" s="1">
        <f t="shared" si="12"/>
        <v>0.11318132121628734</v>
      </c>
      <c r="Q121" s="3">
        <f t="shared" si="13"/>
        <v>1.1318132121628734E-3</v>
      </c>
      <c r="T121">
        <f t="shared" si="14"/>
        <v>9.6358136964860499</v>
      </c>
    </row>
    <row r="122" spans="1:21" x14ac:dyDescent="0.25">
      <c r="A122" t="s">
        <v>133</v>
      </c>
      <c r="B122">
        <v>2968836.5781606901</v>
      </c>
      <c r="C122">
        <v>33272.822456690803</v>
      </c>
      <c r="D122">
        <v>511991.14313203603</v>
      </c>
      <c r="E122">
        <v>3533494.3040934401</v>
      </c>
      <c r="F122">
        <v>7047594.8478428703</v>
      </c>
      <c r="G122" s="1">
        <f t="shared" si="10"/>
        <v>0.9328565974777594</v>
      </c>
      <c r="H122" s="3">
        <f t="shared" si="11"/>
        <v>9.3285659747775942E-3</v>
      </c>
      <c r="K122">
        <v>388124.218584774</v>
      </c>
      <c r="L122">
        <v>60055.549615992</v>
      </c>
      <c r="M122">
        <v>108667.493056294</v>
      </c>
      <c r="N122">
        <v>6274329.6923597101</v>
      </c>
      <c r="O122">
        <v>6831176.9536167802</v>
      </c>
      <c r="P122" s="1">
        <f t="shared" si="12"/>
        <v>0.94808805151327691</v>
      </c>
      <c r="Q122" s="3">
        <f t="shared" si="13"/>
        <v>9.4808805151327686E-3</v>
      </c>
      <c r="T122">
        <f t="shared" si="14"/>
        <v>0.98393455754325143</v>
      </c>
      <c r="U122" t="s">
        <v>217</v>
      </c>
    </row>
    <row r="123" spans="1:21" x14ac:dyDescent="0.25">
      <c r="A123" t="s">
        <v>134</v>
      </c>
      <c r="B123">
        <v>493206.53508779203</v>
      </c>
      <c r="C123">
        <v>1015534.54325673</v>
      </c>
      <c r="D123">
        <v>188110.090988048</v>
      </c>
      <c r="E123">
        <v>1825112.46668133</v>
      </c>
      <c r="F123">
        <v>3521963.6360139102</v>
      </c>
      <c r="G123" s="1">
        <f t="shared" si="10"/>
        <v>35.75011396008945</v>
      </c>
      <c r="H123" s="3">
        <f t="shared" si="11"/>
        <v>0.35750113960089452</v>
      </c>
      <c r="K123">
        <v>2479898.59748874</v>
      </c>
      <c r="L123">
        <v>681524.34159669199</v>
      </c>
      <c r="M123">
        <v>669524.21510262601</v>
      </c>
      <c r="N123">
        <v>25475917.495522998</v>
      </c>
      <c r="O123">
        <v>29306864.649711099</v>
      </c>
      <c r="P123" s="1">
        <f t="shared" si="12"/>
        <v>2.605470159660451</v>
      </c>
      <c r="Q123" s="3">
        <f t="shared" si="13"/>
        <v>2.6054701596604508E-2</v>
      </c>
      <c r="T123">
        <f t="shared" si="14"/>
        <v>13.721175745397316</v>
      </c>
    </row>
    <row r="124" spans="1:21" x14ac:dyDescent="0.25">
      <c r="A124" t="s">
        <v>135</v>
      </c>
      <c r="B124">
        <v>2517901.5962476698</v>
      </c>
      <c r="C124">
        <v>279375.71632410999</v>
      </c>
      <c r="D124">
        <v>243325.16008350399</v>
      </c>
      <c r="E124">
        <v>2369948.4323159098</v>
      </c>
      <c r="F124">
        <v>5410550.9049712</v>
      </c>
      <c r="G124" s="1">
        <f t="shared" si="10"/>
        <v>10.54516928279698</v>
      </c>
      <c r="H124" s="3">
        <f t="shared" si="11"/>
        <v>0.1054516928279698</v>
      </c>
      <c r="K124">
        <v>532695.28244379105</v>
      </c>
      <c r="L124">
        <v>148668.61181160199</v>
      </c>
      <c r="M124">
        <v>58895.086420770604</v>
      </c>
      <c r="N124">
        <v>6002740.1122139599</v>
      </c>
      <c r="O124">
        <v>6742999.0928901304</v>
      </c>
      <c r="P124" s="1">
        <f t="shared" si="12"/>
        <v>2.4168222025460104</v>
      </c>
      <c r="Q124" s="3">
        <f t="shared" si="13"/>
        <v>2.4168222025460102E-2</v>
      </c>
      <c r="T124">
        <f t="shared" si="14"/>
        <v>4.3632375073715117</v>
      </c>
    </row>
    <row r="125" spans="1:21" x14ac:dyDescent="0.25">
      <c r="A125" t="s">
        <v>136</v>
      </c>
      <c r="B125">
        <v>4829131.8933039596</v>
      </c>
      <c r="C125">
        <v>40040.093399904297</v>
      </c>
      <c r="D125">
        <v>3532710.1221133298</v>
      </c>
      <c r="E125">
        <v>5897744.3244286999</v>
      </c>
      <c r="F125">
        <v>14299626.433245899</v>
      </c>
      <c r="G125" s="1">
        <f t="shared" si="10"/>
        <v>0.67432716620160837</v>
      </c>
      <c r="H125" s="3">
        <f t="shared" si="11"/>
        <v>6.7432716620160838E-3</v>
      </c>
      <c r="I125" s="1"/>
      <c r="J125" s="1"/>
      <c r="K125">
        <v>2347569.2730642701</v>
      </c>
      <c r="L125">
        <v>62633.4780201822</v>
      </c>
      <c r="M125">
        <v>924167.82151529298</v>
      </c>
      <c r="N125">
        <v>23183961.117874801</v>
      </c>
      <c r="O125">
        <v>26518331.690474499</v>
      </c>
      <c r="P125" s="1">
        <f t="shared" si="12"/>
        <v>0.26943076656587961</v>
      </c>
      <c r="Q125" s="3">
        <f t="shared" si="13"/>
        <v>2.6943076656587958E-3</v>
      </c>
      <c r="T125">
        <f t="shared" si="14"/>
        <v>2.502784573552872</v>
      </c>
    </row>
    <row r="126" spans="1:21" x14ac:dyDescent="0.25">
      <c r="A126" t="s">
        <v>137</v>
      </c>
      <c r="B126">
        <v>3536680.9534231001</v>
      </c>
      <c r="C126">
        <v>40512.485539151101</v>
      </c>
      <c r="D126">
        <v>956053.11617762898</v>
      </c>
      <c r="E126">
        <v>7344412.4453645097</v>
      </c>
      <c r="F126">
        <v>11877659.000504401</v>
      </c>
      <c r="G126" s="1">
        <f t="shared" si="10"/>
        <v>0.54858357963286386</v>
      </c>
      <c r="H126" s="3">
        <f t="shared" si="11"/>
        <v>5.4858357963286381E-3</v>
      </c>
      <c r="K126">
        <v>3027387.5557438298</v>
      </c>
      <c r="L126">
        <v>7665.9359629882101</v>
      </c>
      <c r="M126">
        <v>187911.99929303001</v>
      </c>
      <c r="N126">
        <v>17003287.6900809</v>
      </c>
      <c r="O126">
        <v>20226253.1810808</v>
      </c>
      <c r="P126" s="1">
        <f t="shared" si="12"/>
        <v>4.5064704375253888E-2</v>
      </c>
      <c r="Q126" s="3">
        <f t="shared" si="13"/>
        <v>4.5064704375253885E-4</v>
      </c>
      <c r="T126">
        <f t="shared" si="14"/>
        <v>12.173242612773119</v>
      </c>
    </row>
    <row r="127" spans="1:21" x14ac:dyDescent="0.25">
      <c r="A127" t="s">
        <v>138</v>
      </c>
      <c r="B127">
        <v>2689853.66107901</v>
      </c>
      <c r="C127">
        <v>7567648.6885288497</v>
      </c>
      <c r="D127">
        <v>1508876.9107024099</v>
      </c>
      <c r="E127">
        <v>13791223.8806268</v>
      </c>
      <c r="F127">
        <v>25557603.140937101</v>
      </c>
      <c r="G127" s="1">
        <f t="shared" si="10"/>
        <v>35.430937021728823</v>
      </c>
      <c r="H127" s="3">
        <f t="shared" si="11"/>
        <v>0.3543093702172882</v>
      </c>
      <c r="I127" s="12" t="s">
        <v>216</v>
      </c>
      <c r="K127">
        <v>4829795.7430311097</v>
      </c>
      <c r="L127">
        <v>1968412.81578056</v>
      </c>
      <c r="M127">
        <v>706971.21412052505</v>
      </c>
      <c r="N127">
        <v>29432691.112607501</v>
      </c>
      <c r="O127">
        <v>36937870.885539703</v>
      </c>
      <c r="P127" s="1">
        <f t="shared" si="12"/>
        <v>6.2686102382566968</v>
      </c>
      <c r="Q127" s="3">
        <f t="shared" si="13"/>
        <v>6.2686102382566972E-2</v>
      </c>
      <c r="R127" s="12" t="s">
        <v>216</v>
      </c>
      <c r="T127">
        <f t="shared" si="14"/>
        <v>5.6521199556318527</v>
      </c>
    </row>
    <row r="128" spans="1:21" x14ac:dyDescent="0.25">
      <c r="A128" t="s">
        <v>139</v>
      </c>
      <c r="B128">
        <v>146914.42970447999</v>
      </c>
      <c r="C128">
        <v>23561.5533496309</v>
      </c>
      <c r="D128">
        <v>26951.783560427401</v>
      </c>
      <c r="E128">
        <v>2994107.74452915</v>
      </c>
      <c r="F128">
        <v>3191535.51114369</v>
      </c>
      <c r="G128" s="1">
        <f t="shared" si="10"/>
        <v>0.78078646212801028</v>
      </c>
      <c r="H128" s="3">
        <f t="shared" si="11"/>
        <v>7.8078646212801023E-3</v>
      </c>
      <c r="K128">
        <v>1224148.84320175</v>
      </c>
      <c r="L128">
        <v>24663.287065572302</v>
      </c>
      <c r="M128">
        <v>291704.34753555298</v>
      </c>
      <c r="N128">
        <v>19687646.246424399</v>
      </c>
      <c r="O128">
        <v>21228162.724227302</v>
      </c>
      <c r="P128" s="1">
        <f t="shared" si="12"/>
        <v>0.12511617181980086</v>
      </c>
      <c r="Q128" s="3">
        <f t="shared" si="13"/>
        <v>1.2511617181980086E-3</v>
      </c>
      <c r="T128">
        <f t="shared" si="14"/>
        <v>6.2404919425807037</v>
      </c>
    </row>
    <row r="129" spans="1:21" x14ac:dyDescent="0.25">
      <c r="A129" t="s">
        <v>140</v>
      </c>
      <c r="B129">
        <v>1440511.3540052299</v>
      </c>
      <c r="C129">
        <v>29056.712937269102</v>
      </c>
      <c r="D129">
        <v>458717.322588115</v>
      </c>
      <c r="E129">
        <v>3888817.2803925201</v>
      </c>
      <c r="F129">
        <v>5817102.6699231397</v>
      </c>
      <c r="G129" s="1">
        <f t="shared" si="10"/>
        <v>0.74164490707813424</v>
      </c>
      <c r="H129" s="3">
        <f t="shared" si="11"/>
        <v>7.4164490707813429E-3</v>
      </c>
      <c r="K129">
        <v>1292036.7862301201</v>
      </c>
      <c r="L129">
        <v>13993.283434527801</v>
      </c>
      <c r="M129">
        <v>370904.61025748297</v>
      </c>
      <c r="N129">
        <v>15831224.6878842</v>
      </c>
      <c r="O129">
        <v>17508159.367806401</v>
      </c>
      <c r="P129" s="1">
        <f t="shared" si="12"/>
        <v>8.831234420288131E-2</v>
      </c>
      <c r="Q129" s="3">
        <f t="shared" si="13"/>
        <v>8.8312344202881306E-4</v>
      </c>
      <c r="T129">
        <f t="shared" si="14"/>
        <v>8.3979755465933739</v>
      </c>
    </row>
    <row r="130" spans="1:21" x14ac:dyDescent="0.25">
      <c r="A130" t="s">
        <v>141</v>
      </c>
      <c r="B130">
        <v>2381368.2230899301</v>
      </c>
      <c r="C130">
        <v>12896.304851684899</v>
      </c>
      <c r="D130">
        <v>622285.27532522206</v>
      </c>
      <c r="E130">
        <v>6791429.54074453</v>
      </c>
      <c r="F130">
        <v>9807979.3440113608</v>
      </c>
      <c r="G130" s="1">
        <f t="shared" si="10"/>
        <v>0.18953097109585715</v>
      </c>
      <c r="H130" s="3">
        <f t="shared" si="11"/>
        <v>1.8953097109585715E-3</v>
      </c>
      <c r="I130" s="1"/>
      <c r="J130" s="1"/>
      <c r="K130">
        <v>854767.37709394505</v>
      </c>
      <c r="L130">
        <v>2480.3856557540298</v>
      </c>
      <c r="M130">
        <v>135388.729280286</v>
      </c>
      <c r="N130">
        <v>13340280.5225359</v>
      </c>
      <c r="O130">
        <v>14332917.014565799</v>
      </c>
      <c r="P130" s="1">
        <f t="shared" si="12"/>
        <v>1.8589748199948797E-2</v>
      </c>
      <c r="Q130" s="3">
        <f t="shared" si="13"/>
        <v>1.8589748199948798E-4</v>
      </c>
      <c r="T130">
        <f t="shared" si="14"/>
        <v>10.195456606366468</v>
      </c>
    </row>
    <row r="131" spans="1:21" x14ac:dyDescent="0.25">
      <c r="A131" t="s">
        <v>142</v>
      </c>
      <c r="B131">
        <v>2724098.0809223801</v>
      </c>
      <c r="C131">
        <v>258591.559268535</v>
      </c>
      <c r="D131">
        <v>936222.52534946206</v>
      </c>
      <c r="E131">
        <v>5118022.6263650404</v>
      </c>
      <c r="F131">
        <v>9036934.7919054292</v>
      </c>
      <c r="G131" s="1">
        <f t="shared" si="10"/>
        <v>4.809561377111585</v>
      </c>
      <c r="H131" s="3">
        <f t="shared" si="11"/>
        <v>4.8095613771115847E-2</v>
      </c>
      <c r="K131">
        <v>2426786.9039089298</v>
      </c>
      <c r="L131">
        <v>15294.224715341101</v>
      </c>
      <c r="M131">
        <v>370749.20718103601</v>
      </c>
      <c r="N131">
        <v>19821227.773042299</v>
      </c>
      <c r="O131">
        <v>22634058.108847599</v>
      </c>
      <c r="P131" s="1">
        <f t="shared" si="12"/>
        <v>7.710134224674059E-2</v>
      </c>
      <c r="Q131" s="3">
        <f t="shared" si="13"/>
        <v>7.7101342246740587E-4</v>
      </c>
      <c r="T131">
        <f t="shared" si="14"/>
        <v>62.379736032609806</v>
      </c>
    </row>
    <row r="132" spans="1:21" x14ac:dyDescent="0.25">
      <c r="A132" t="s">
        <v>143</v>
      </c>
      <c r="B132">
        <v>0</v>
      </c>
      <c r="C132">
        <v>0</v>
      </c>
      <c r="D132">
        <v>0</v>
      </c>
      <c r="E132">
        <v>0</v>
      </c>
      <c r="F132">
        <v>0</v>
      </c>
      <c r="G132" s="1"/>
      <c r="H132" s="3"/>
      <c r="I132" s="12" t="s">
        <v>215</v>
      </c>
      <c r="K132">
        <v>3286245.8977409001</v>
      </c>
      <c r="L132">
        <v>4575.8174095059603</v>
      </c>
      <c r="M132">
        <v>361713.08222735801</v>
      </c>
      <c r="N132">
        <v>23780518.218357299</v>
      </c>
      <c r="O132">
        <v>27433053.015735101</v>
      </c>
      <c r="P132" s="1">
        <f t="shared" si="12"/>
        <v>1.9238172456350525E-2</v>
      </c>
      <c r="Q132" s="3">
        <f t="shared" si="13"/>
        <v>1.9238172456350524E-4</v>
      </c>
    </row>
    <row r="133" spans="1:21" x14ac:dyDescent="0.25">
      <c r="A133" t="s">
        <v>144</v>
      </c>
      <c r="B133">
        <v>2131491.04126408</v>
      </c>
      <c r="C133">
        <v>79928.606113608694</v>
      </c>
      <c r="D133">
        <v>248965.32133318999</v>
      </c>
      <c r="E133">
        <v>5701283.9938941002</v>
      </c>
      <c r="F133">
        <v>8161668.9626049902</v>
      </c>
      <c r="G133" s="1">
        <f t="shared" si="10"/>
        <v>1.3825578065318358</v>
      </c>
      <c r="H133" s="3">
        <f t="shared" si="11"/>
        <v>1.3825578065318358E-2</v>
      </c>
      <c r="I133" s="1"/>
      <c r="J133" s="1"/>
      <c r="K133">
        <v>1116716.8458358999</v>
      </c>
      <c r="L133">
        <v>16629.2703408048</v>
      </c>
      <c r="M133">
        <v>89550.260632930498</v>
      </c>
      <c r="N133">
        <v>11053941.2263979</v>
      </c>
      <c r="O133">
        <v>12276837.603207501</v>
      </c>
      <c r="P133" s="1">
        <f t="shared" si="12"/>
        <v>0.15021150306304126</v>
      </c>
      <c r="Q133" s="3">
        <f t="shared" si="13"/>
        <v>1.5021150306304125E-3</v>
      </c>
      <c r="T133">
        <f t="shared" si="14"/>
        <v>9.2040741110991977</v>
      </c>
    </row>
    <row r="134" spans="1:21" x14ac:dyDescent="0.25">
      <c r="A134" t="s">
        <v>145</v>
      </c>
      <c r="B134">
        <v>2670386.8985654502</v>
      </c>
      <c r="C134">
        <v>63696.557744572397</v>
      </c>
      <c r="D134">
        <v>1124152.2912297</v>
      </c>
      <c r="E134">
        <v>10799514.6201194</v>
      </c>
      <c r="F134">
        <v>14657750.367659099</v>
      </c>
      <c r="G134" s="1">
        <f t="shared" si="10"/>
        <v>0.5863510954695168</v>
      </c>
      <c r="H134" s="3">
        <f t="shared" si="11"/>
        <v>5.8635109546951681E-3</v>
      </c>
      <c r="K134">
        <v>1475249.83595855</v>
      </c>
      <c r="L134">
        <v>23531.212415192302</v>
      </c>
      <c r="M134">
        <v>274442.54314547102</v>
      </c>
      <c r="N134">
        <v>13739531.4114282</v>
      </c>
      <c r="O134">
        <v>15512755.002947399</v>
      </c>
      <c r="P134" s="1">
        <f t="shared" si="12"/>
        <v>0.17097366377180018</v>
      </c>
      <c r="Q134" s="3">
        <f t="shared" si="13"/>
        <v>1.7097366377180018E-3</v>
      </c>
      <c r="T134">
        <f t="shared" si="14"/>
        <v>3.4294819595848631</v>
      </c>
    </row>
    <row r="135" spans="1:21" x14ac:dyDescent="0.25">
      <c r="A135" t="s">
        <v>146</v>
      </c>
      <c r="B135">
        <v>3762145.1019302998</v>
      </c>
      <c r="C135">
        <v>33255.083032749899</v>
      </c>
      <c r="D135">
        <v>1389043.8159626699</v>
      </c>
      <c r="E135">
        <v>6817745.1080990704</v>
      </c>
      <c r="F135">
        <v>12002189.1090248</v>
      </c>
      <c r="G135" s="1">
        <f t="shared" si="10"/>
        <v>0.48540478915467655</v>
      </c>
      <c r="H135" s="3">
        <f t="shared" si="11"/>
        <v>4.8540478915467655E-3</v>
      </c>
      <c r="K135">
        <v>1251949.35049011</v>
      </c>
      <c r="L135">
        <v>33595.201498950402</v>
      </c>
      <c r="M135">
        <v>219233.07505996901</v>
      </c>
      <c r="N135">
        <v>15828179.3058961</v>
      </c>
      <c r="O135">
        <v>17332956.932945099</v>
      </c>
      <c r="P135" s="1">
        <f t="shared" si="12"/>
        <v>0.21179976731662467</v>
      </c>
      <c r="Q135" s="3">
        <f t="shared" si="13"/>
        <v>2.1179976731662466E-3</v>
      </c>
      <c r="T135">
        <f t="shared" si="14"/>
        <v>2.2918098320147493</v>
      </c>
    </row>
    <row r="136" spans="1:21" x14ac:dyDescent="0.25">
      <c r="A136" t="s">
        <v>147</v>
      </c>
      <c r="B136">
        <v>7340611.02935737</v>
      </c>
      <c r="C136">
        <v>43316.326027552597</v>
      </c>
      <c r="D136">
        <v>4128964.18625517</v>
      </c>
      <c r="E136">
        <v>8095973.1724843299</v>
      </c>
      <c r="F136">
        <v>19608864.7141244</v>
      </c>
      <c r="G136" s="1">
        <f t="shared" si="10"/>
        <v>0.53218804952781418</v>
      </c>
      <c r="H136" s="3">
        <f t="shared" si="11"/>
        <v>5.3218804952781416E-3</v>
      </c>
      <c r="K136">
        <v>1546668.5768731399</v>
      </c>
      <c r="L136">
        <v>28694.940262167001</v>
      </c>
      <c r="M136">
        <v>408343.22410836403</v>
      </c>
      <c r="N136">
        <v>18198072.868306801</v>
      </c>
      <c r="O136">
        <v>20181779.609550498</v>
      </c>
      <c r="P136" s="1">
        <f t="shared" si="12"/>
        <v>0.1574329610358926</v>
      </c>
      <c r="Q136" s="3">
        <f t="shared" si="13"/>
        <v>1.5743296103589261E-3</v>
      </c>
      <c r="T136">
        <f t="shared" si="14"/>
        <v>3.3804105952531911</v>
      </c>
    </row>
    <row r="137" spans="1:21" x14ac:dyDescent="0.25">
      <c r="A137" t="s">
        <v>148</v>
      </c>
      <c r="B137">
        <v>2037171.0491859401</v>
      </c>
      <c r="C137">
        <v>23835.888819561998</v>
      </c>
      <c r="D137">
        <v>549823.97669727704</v>
      </c>
      <c r="E137">
        <v>3572291.93338909</v>
      </c>
      <c r="F137">
        <v>6183122.8480918696</v>
      </c>
      <c r="G137" s="1">
        <f t="shared" si="10"/>
        <v>0.66282095626185478</v>
      </c>
      <c r="H137" s="3">
        <f t="shared" si="11"/>
        <v>6.6282095626185476E-3</v>
      </c>
      <c r="I137" s="1"/>
      <c r="J137" s="1"/>
      <c r="K137">
        <v>562453.12290616403</v>
      </c>
      <c r="L137">
        <v>2373.50694355727</v>
      </c>
      <c r="M137">
        <v>172829.932676642</v>
      </c>
      <c r="N137">
        <v>8390457.5823899191</v>
      </c>
      <c r="O137">
        <v>9128114.1449162792</v>
      </c>
      <c r="P137" s="1">
        <f t="shared" si="12"/>
        <v>2.8280170520455027E-2</v>
      </c>
      <c r="Q137" s="3">
        <f t="shared" si="13"/>
        <v>2.8280170520455025E-4</v>
      </c>
      <c r="T137">
        <f t="shared" si="14"/>
        <v>23.43765769666901</v>
      </c>
    </row>
    <row r="138" spans="1:21" x14ac:dyDescent="0.25">
      <c r="A138" t="s">
        <v>149</v>
      </c>
      <c r="B138">
        <v>4247547.0179984597</v>
      </c>
      <c r="C138">
        <v>76807.929636551606</v>
      </c>
      <c r="D138">
        <v>1136258.60267605</v>
      </c>
      <c r="E138">
        <v>11308795.4531886</v>
      </c>
      <c r="F138">
        <v>16769409.0034997</v>
      </c>
      <c r="G138" s="1">
        <f t="shared" si="10"/>
        <v>0.67460570207824133</v>
      </c>
      <c r="H138" s="3">
        <f t="shared" si="11"/>
        <v>6.7460570207824137E-3</v>
      </c>
      <c r="I138" s="1"/>
      <c r="J138" s="1"/>
      <c r="K138">
        <v>2177695.2702039401</v>
      </c>
      <c r="L138">
        <v>9727.3200362080097</v>
      </c>
      <c r="M138">
        <v>248016.29341569901</v>
      </c>
      <c r="N138">
        <v>15121876.969275201</v>
      </c>
      <c r="O138">
        <v>17557315.852931</v>
      </c>
      <c r="P138" s="1">
        <f t="shared" si="12"/>
        <v>6.4284789968233225E-2</v>
      </c>
      <c r="Q138" s="3">
        <f t="shared" si="13"/>
        <v>6.4284789968233232E-4</v>
      </c>
      <c r="T138">
        <f t="shared" si="14"/>
        <v>10.494017362607895</v>
      </c>
    </row>
    <row r="139" spans="1:21" x14ac:dyDescent="0.25">
      <c r="A139" t="s">
        <v>150</v>
      </c>
      <c r="B139">
        <v>4243504.3365924396</v>
      </c>
      <c r="C139">
        <v>1567701.3453266299</v>
      </c>
      <c r="D139">
        <v>1038223.82418282</v>
      </c>
      <c r="E139">
        <v>3429348.21127212</v>
      </c>
      <c r="F139">
        <v>10278777.717374001</v>
      </c>
      <c r="G139" s="1">
        <f t="shared" si="10"/>
        <v>31.372539486954548</v>
      </c>
      <c r="H139" s="3">
        <f t="shared" si="11"/>
        <v>0.31372539486954548</v>
      </c>
      <c r="I139" s="1"/>
      <c r="J139" s="1"/>
      <c r="K139">
        <v>1645134.5767397401</v>
      </c>
      <c r="L139">
        <v>142319.86695086901</v>
      </c>
      <c r="M139">
        <v>405503.20918427501</v>
      </c>
      <c r="N139">
        <v>18561870.499768</v>
      </c>
      <c r="O139">
        <v>20754828.152642898</v>
      </c>
      <c r="P139" s="1">
        <f t="shared" si="12"/>
        <v>0.76089830225479615</v>
      </c>
      <c r="Q139" s="3">
        <f t="shared" si="13"/>
        <v>7.6089830225479615E-3</v>
      </c>
      <c r="T139">
        <f t="shared" si="14"/>
        <v>41.230923231116719</v>
      </c>
    </row>
    <row r="140" spans="1:21" x14ac:dyDescent="0.25">
      <c r="A140" t="s">
        <v>151</v>
      </c>
      <c r="B140">
        <v>6964304.9517333098</v>
      </c>
      <c r="C140">
        <v>17960.437900769099</v>
      </c>
      <c r="D140">
        <v>1236071.9307629201</v>
      </c>
      <c r="E140">
        <v>7887383.5161223104</v>
      </c>
      <c r="F140">
        <v>16105720.836519299</v>
      </c>
      <c r="G140" s="1">
        <f t="shared" si="10"/>
        <v>0.22719363009662494</v>
      </c>
      <c r="H140" s="3">
        <f t="shared" si="11"/>
        <v>2.2719363009662493E-3</v>
      </c>
      <c r="K140">
        <v>3440181.82588922</v>
      </c>
      <c r="L140">
        <v>48250.000966749103</v>
      </c>
      <c r="M140">
        <v>381432.765308259</v>
      </c>
      <c r="N140">
        <v>18565745.714619201</v>
      </c>
      <c r="O140">
        <v>22435610.3067834</v>
      </c>
      <c r="P140" s="1">
        <f t="shared" si="12"/>
        <v>0.2592135600759175</v>
      </c>
      <c r="Q140" s="3">
        <f t="shared" si="13"/>
        <v>2.5921356007591752E-3</v>
      </c>
      <c r="T140">
        <f t="shared" si="14"/>
        <v>0.87647278186405564</v>
      </c>
      <c r="U140" t="s">
        <v>217</v>
      </c>
    </row>
    <row r="141" spans="1:21" x14ac:dyDescent="0.25">
      <c r="A141" t="s">
        <v>152</v>
      </c>
      <c r="B141">
        <v>958533.31117784698</v>
      </c>
      <c r="C141">
        <v>16398.432289587399</v>
      </c>
      <c r="D141">
        <v>385810.16792253201</v>
      </c>
      <c r="E141">
        <v>3421509.8179473402</v>
      </c>
      <c r="F141">
        <v>4782251.7293373104</v>
      </c>
      <c r="G141" s="1">
        <f t="shared" si="10"/>
        <v>0.47698865402988233</v>
      </c>
      <c r="H141" s="3">
        <f t="shared" si="11"/>
        <v>4.7698865402988231E-3</v>
      </c>
      <c r="K141">
        <v>1514718.33179444</v>
      </c>
      <c r="L141">
        <v>4063.1671117533301</v>
      </c>
      <c r="M141">
        <v>391623.71584386303</v>
      </c>
      <c r="N141">
        <v>14839483.1344625</v>
      </c>
      <c r="O141">
        <v>16749888.3492126</v>
      </c>
      <c r="P141" s="1">
        <f t="shared" si="12"/>
        <v>2.737329091850783E-2</v>
      </c>
      <c r="Q141" s="3">
        <f t="shared" si="13"/>
        <v>2.737329091850783E-4</v>
      </c>
      <c r="T141">
        <f t="shared" si="14"/>
        <v>17.425330971343939</v>
      </c>
    </row>
    <row r="142" spans="1:21" x14ac:dyDescent="0.25">
      <c r="A142" t="s">
        <v>153</v>
      </c>
      <c r="B142">
        <v>1930749.4668105801</v>
      </c>
      <c r="C142">
        <v>124505.235281555</v>
      </c>
      <c r="D142">
        <v>751625.44083951204</v>
      </c>
      <c r="E142">
        <v>7796995.5054682503</v>
      </c>
      <c r="F142">
        <v>10603875.648399901</v>
      </c>
      <c r="G142" s="1">
        <f t="shared" si="10"/>
        <v>1.5717379743597679</v>
      </c>
      <c r="H142" s="3">
        <f t="shared" si="11"/>
        <v>1.571737974359768E-2</v>
      </c>
      <c r="K142">
        <v>4632852.4620936802</v>
      </c>
      <c r="L142">
        <v>47920.267047721703</v>
      </c>
      <c r="M142">
        <v>883953.40159096196</v>
      </c>
      <c r="N142">
        <v>20964034.527727</v>
      </c>
      <c r="O142">
        <v>26528760.658459399</v>
      </c>
      <c r="P142" s="1">
        <f t="shared" si="12"/>
        <v>0.22806191768334932</v>
      </c>
      <c r="Q142" s="3">
        <f t="shared" si="13"/>
        <v>2.2806191768334934E-3</v>
      </c>
      <c r="T142">
        <f t="shared" si="14"/>
        <v>6.8917160318805806</v>
      </c>
    </row>
    <row r="143" spans="1:21" x14ac:dyDescent="0.25">
      <c r="A143" t="s">
        <v>154</v>
      </c>
      <c r="B143">
        <v>2247529.3106981702</v>
      </c>
      <c r="C143">
        <v>23825.2316557739</v>
      </c>
      <c r="D143">
        <v>312289.82520722901</v>
      </c>
      <c r="E143">
        <v>2289015.1441202001</v>
      </c>
      <c r="F143">
        <v>4872659.5116813704</v>
      </c>
      <c r="G143" s="1">
        <f t="shared" si="10"/>
        <v>1.0301286636688176</v>
      </c>
      <c r="H143" s="3">
        <f t="shared" si="11"/>
        <v>1.0301286636688176E-2</v>
      </c>
      <c r="K143">
        <v>2743916.2417509202</v>
      </c>
      <c r="L143">
        <v>8183.4702592510102</v>
      </c>
      <c r="M143">
        <v>161631.12952893801</v>
      </c>
      <c r="N143">
        <v>17146932.006813001</v>
      </c>
      <c r="O143">
        <v>20060662.848352101</v>
      </c>
      <c r="P143" s="1">
        <f t="shared" si="12"/>
        <v>4.7702799029176977E-2</v>
      </c>
      <c r="Q143" s="3">
        <f t="shared" si="13"/>
        <v>4.7702799029176974E-4</v>
      </c>
      <c r="T143">
        <f t="shared" si="14"/>
        <v>21.594721580986242</v>
      </c>
    </row>
    <row r="144" spans="1:21" x14ac:dyDescent="0.25">
      <c r="A144" t="s">
        <v>155</v>
      </c>
      <c r="B144">
        <v>4433061.9247529199</v>
      </c>
      <c r="C144">
        <v>656256.43425871397</v>
      </c>
      <c r="D144">
        <v>725532.83927966305</v>
      </c>
      <c r="E144">
        <v>5522940.89269068</v>
      </c>
      <c r="F144">
        <v>11337792.090981901</v>
      </c>
      <c r="G144" s="1">
        <f t="shared" si="10"/>
        <v>10.62041555780354</v>
      </c>
      <c r="H144" s="3">
        <f t="shared" si="11"/>
        <v>0.10620415557803541</v>
      </c>
      <c r="I144" s="1"/>
      <c r="J144" s="1"/>
      <c r="K144">
        <v>920704.94709888694</v>
      </c>
      <c r="L144">
        <v>38776.663583317299</v>
      </c>
      <c r="M144">
        <v>277646.15873287502</v>
      </c>
      <c r="N144">
        <v>9897086.5340810902</v>
      </c>
      <c r="O144">
        <v>11134214.3034961</v>
      </c>
      <c r="P144" s="1">
        <f t="shared" si="12"/>
        <v>0.39026970089958973</v>
      </c>
      <c r="Q144" s="3">
        <f t="shared" si="13"/>
        <v>3.9026970089958975E-3</v>
      </c>
      <c r="T144">
        <f t="shared" si="14"/>
        <v>27.213015853710885</v>
      </c>
    </row>
    <row r="145" spans="1:20" x14ac:dyDescent="0.25">
      <c r="A145" t="s">
        <v>156</v>
      </c>
      <c r="B145">
        <v>2005895.4794346101</v>
      </c>
      <c r="C145">
        <v>18469.709480040201</v>
      </c>
      <c r="D145">
        <v>996097.36637875403</v>
      </c>
      <c r="E145">
        <v>6066034.4407191304</v>
      </c>
      <c r="F145">
        <v>9086496.9960125405</v>
      </c>
      <c r="G145" s="1">
        <f t="shared" si="10"/>
        <v>0.30355323990428396</v>
      </c>
      <c r="H145" s="3">
        <f t="shared" si="11"/>
        <v>3.0355323990428396E-3</v>
      </c>
      <c r="K145">
        <v>4735604.3575729802</v>
      </c>
      <c r="L145">
        <v>4530.8790766557104</v>
      </c>
      <c r="M145">
        <v>496396.06630364299</v>
      </c>
      <c r="N145">
        <v>28407363.085781202</v>
      </c>
      <c r="O145">
        <v>33643894.388734497</v>
      </c>
      <c r="P145" s="1">
        <f t="shared" si="12"/>
        <v>1.5947120886273439E-2</v>
      </c>
      <c r="Q145" s="3">
        <f t="shared" si="13"/>
        <v>1.594712088627344E-4</v>
      </c>
      <c r="T145">
        <f t="shared" si="14"/>
        <v>19.03498707190267</v>
      </c>
    </row>
    <row r="146" spans="1:20" x14ac:dyDescent="0.25">
      <c r="A146" t="s">
        <v>157</v>
      </c>
      <c r="B146">
        <v>1480595.6543546501</v>
      </c>
      <c r="C146">
        <v>13415.2151352973</v>
      </c>
      <c r="D146">
        <v>373670.34682636999</v>
      </c>
      <c r="E146">
        <v>3653352.7590864198</v>
      </c>
      <c r="F146">
        <v>5521033.9754027501</v>
      </c>
      <c r="G146" s="1">
        <f t="shared" si="10"/>
        <v>0.36585939523879257</v>
      </c>
      <c r="H146" s="3">
        <f t="shared" si="11"/>
        <v>3.6585939523879258E-3</v>
      </c>
      <c r="K146">
        <v>1501840.86557489</v>
      </c>
      <c r="L146">
        <v>11447.391111467001</v>
      </c>
      <c r="M146">
        <v>673867.97519261797</v>
      </c>
      <c r="N146">
        <v>16518013.247232599</v>
      </c>
      <c r="O146">
        <v>18705169.4791115</v>
      </c>
      <c r="P146" s="1">
        <f t="shared" si="12"/>
        <v>6.9254474552618003E-2</v>
      </c>
      <c r="Q146" s="3">
        <f t="shared" si="13"/>
        <v>6.9254474552618009E-4</v>
      </c>
      <c r="T146">
        <f t="shared" si="14"/>
        <v>5.2828268151947464</v>
      </c>
    </row>
    <row r="147" spans="1:20" x14ac:dyDescent="0.25">
      <c r="A147" t="s">
        <v>158</v>
      </c>
      <c r="B147">
        <v>1254179.10082253</v>
      </c>
      <c r="C147">
        <v>7939.2723723305999</v>
      </c>
      <c r="D147">
        <v>152637.85603345899</v>
      </c>
      <c r="E147">
        <v>3081307.40491632</v>
      </c>
      <c r="F147">
        <v>4496063.6341446498</v>
      </c>
      <c r="G147" s="1">
        <f t="shared" si="10"/>
        <v>0.25699703525451995</v>
      </c>
      <c r="H147" s="3">
        <f t="shared" si="11"/>
        <v>2.5699703525451996E-3</v>
      </c>
      <c r="K147">
        <v>256065.827986769</v>
      </c>
      <c r="L147">
        <v>4957.1864368851202</v>
      </c>
      <c r="M147">
        <v>110490.231679859</v>
      </c>
      <c r="N147">
        <v>6934011.8108414104</v>
      </c>
      <c r="O147">
        <v>7305525.05694493</v>
      </c>
      <c r="P147" s="1">
        <f t="shared" si="12"/>
        <v>7.1439812439420047E-2</v>
      </c>
      <c r="Q147" s="3">
        <f t="shared" si="13"/>
        <v>7.1439812439420044E-4</v>
      </c>
      <c r="T147">
        <f t="shared" si="14"/>
        <v>3.597392356992116</v>
      </c>
    </row>
    <row r="148" spans="1:20" x14ac:dyDescent="0.25">
      <c r="A148" t="s">
        <v>159</v>
      </c>
      <c r="B148">
        <v>5827545.7464264398</v>
      </c>
      <c r="C148">
        <v>3818354.9940199</v>
      </c>
      <c r="D148">
        <v>2852743.1110296799</v>
      </c>
      <c r="E148">
        <v>16248866.102084</v>
      </c>
      <c r="F148">
        <v>28747509.953559998</v>
      </c>
      <c r="G148" s="1">
        <f t="shared" si="10"/>
        <v>19.027821419485146</v>
      </c>
      <c r="H148" s="3">
        <f t="shared" si="11"/>
        <v>0.19027821419485147</v>
      </c>
      <c r="I148" s="1"/>
      <c r="J148" s="1"/>
      <c r="K148">
        <v>3026102.01175215</v>
      </c>
      <c r="L148">
        <v>220944.92716502701</v>
      </c>
      <c r="M148">
        <v>483843.29865100101</v>
      </c>
      <c r="N148">
        <v>28672782.5825142</v>
      </c>
      <c r="O148">
        <v>32403672.820082299</v>
      </c>
      <c r="P148" s="1">
        <f t="shared" si="12"/>
        <v>0.76468128624460718</v>
      </c>
      <c r="Q148" s="3">
        <f t="shared" si="13"/>
        <v>7.6468128624460714E-3</v>
      </c>
      <c r="T148">
        <f t="shared" si="14"/>
        <v>24.883336053549641</v>
      </c>
    </row>
    <row r="149" spans="1:20" x14ac:dyDescent="0.25">
      <c r="A149" t="s">
        <v>160</v>
      </c>
      <c r="B149">
        <v>3596712.36226905</v>
      </c>
      <c r="C149">
        <v>18634.625829219101</v>
      </c>
      <c r="D149">
        <v>1897793.48897831</v>
      </c>
      <c r="E149">
        <v>4554274.12881367</v>
      </c>
      <c r="F149">
        <v>10067414.6058902</v>
      </c>
      <c r="G149" s="1">
        <f t="shared" si="10"/>
        <v>0.40750049539692451</v>
      </c>
      <c r="H149" s="3">
        <f t="shared" si="11"/>
        <v>4.0750049539692449E-3</v>
      </c>
      <c r="K149">
        <v>1681926.5142056099</v>
      </c>
      <c r="L149">
        <v>8508.9338331060808</v>
      </c>
      <c r="M149">
        <v>766943.42826797697</v>
      </c>
      <c r="N149">
        <v>19228766.841056298</v>
      </c>
      <c r="O149">
        <v>21686145.717363</v>
      </c>
      <c r="P149" s="1">
        <f t="shared" si="12"/>
        <v>4.423149063659456E-2</v>
      </c>
      <c r="Q149" s="3">
        <f t="shared" si="13"/>
        <v>4.4231490636594559E-4</v>
      </c>
      <c r="T149">
        <f t="shared" si="14"/>
        <v>9.2129044156558972</v>
      </c>
    </row>
    <row r="150" spans="1:20" x14ac:dyDescent="0.25">
      <c r="A150" t="s">
        <v>161</v>
      </c>
      <c r="B150">
        <v>3352465.27379221</v>
      </c>
      <c r="C150">
        <v>101977.968199268</v>
      </c>
      <c r="D150">
        <v>464020.76941975299</v>
      </c>
      <c r="E150">
        <v>6458441.0745531404</v>
      </c>
      <c r="F150">
        <v>10376905.0859643</v>
      </c>
      <c r="G150" s="1">
        <f t="shared" si="10"/>
        <v>1.5544429027278017</v>
      </c>
      <c r="H150" s="3">
        <f t="shared" si="11"/>
        <v>1.5544429027278017E-2</v>
      </c>
      <c r="I150" s="1"/>
      <c r="J150" s="1"/>
      <c r="K150">
        <v>1765074.96238499</v>
      </c>
      <c r="L150">
        <v>13427.1679785919</v>
      </c>
      <c r="M150">
        <v>88378.314436981396</v>
      </c>
      <c r="N150">
        <v>13386989.7231886</v>
      </c>
      <c r="O150">
        <v>15253870.1679892</v>
      </c>
      <c r="P150" s="1">
        <f t="shared" si="12"/>
        <v>0.10019962877007463</v>
      </c>
      <c r="Q150" s="3">
        <f t="shared" si="13"/>
        <v>1.0019962877007463E-3</v>
      </c>
      <c r="T150">
        <f t="shared" si="14"/>
        <v>15.513459698485907</v>
      </c>
    </row>
    <row r="151" spans="1:20" x14ac:dyDescent="0.25">
      <c r="A151" t="s">
        <v>162</v>
      </c>
      <c r="B151">
        <v>6984494.2461364903</v>
      </c>
      <c r="C151">
        <v>19262.520583404101</v>
      </c>
      <c r="D151">
        <v>1946487.5439249</v>
      </c>
      <c r="E151">
        <v>8029257.0191186098</v>
      </c>
      <c r="F151">
        <v>16979501.329763401</v>
      </c>
      <c r="G151" s="1">
        <f t="shared" si="10"/>
        <v>0.23932998470569994</v>
      </c>
      <c r="H151" s="3">
        <f t="shared" si="11"/>
        <v>2.3932998470569994E-3</v>
      </c>
      <c r="K151">
        <v>2264762.4946314702</v>
      </c>
      <c r="L151">
        <v>10850.806934767799</v>
      </c>
      <c r="M151">
        <v>720007.46237440896</v>
      </c>
      <c r="N151">
        <v>19876827.1201481</v>
      </c>
      <c r="O151">
        <v>22872447.884088699</v>
      </c>
      <c r="P151" s="1">
        <f t="shared" si="12"/>
        <v>5.4560451826260049E-2</v>
      </c>
      <c r="Q151" s="3">
        <f t="shared" si="13"/>
        <v>5.4560451826260047E-4</v>
      </c>
      <c r="T151">
        <f t="shared" si="14"/>
        <v>4.3865103146105175</v>
      </c>
    </row>
    <row r="152" spans="1:20" x14ac:dyDescent="0.25">
      <c r="A152" t="s">
        <v>163</v>
      </c>
      <c r="B152">
        <v>1669368.05791219</v>
      </c>
      <c r="C152">
        <v>49272.689760688299</v>
      </c>
      <c r="D152">
        <v>396684.99440926098</v>
      </c>
      <c r="E152">
        <v>4985379.7510947501</v>
      </c>
      <c r="F152">
        <v>7100705.4931768896</v>
      </c>
      <c r="G152" s="1">
        <f t="shared" si="10"/>
        <v>0.97867112654784105</v>
      </c>
      <c r="H152" s="3">
        <f t="shared" si="11"/>
        <v>9.7867112654784101E-3</v>
      </c>
      <c r="I152" s="1"/>
      <c r="J152" s="1"/>
      <c r="K152">
        <v>1143342.8602261799</v>
      </c>
      <c r="L152">
        <v>12629.1331092071</v>
      </c>
      <c r="M152">
        <v>666228.37464705901</v>
      </c>
      <c r="N152">
        <v>14848260.1949313</v>
      </c>
      <c r="O152">
        <v>16670460.5629138</v>
      </c>
      <c r="P152" s="1">
        <f t="shared" si="12"/>
        <v>8.4982350856873806E-2</v>
      </c>
      <c r="Q152" s="3">
        <f t="shared" si="13"/>
        <v>8.4982350856873811E-4</v>
      </c>
      <c r="T152">
        <f t="shared" si="14"/>
        <v>11.516169141944619</v>
      </c>
    </row>
    <row r="153" spans="1:20" x14ac:dyDescent="0.25">
      <c r="A153" t="s">
        <v>164</v>
      </c>
      <c r="B153">
        <v>2950651.6922116899</v>
      </c>
      <c r="C153">
        <v>58985.8731332936</v>
      </c>
      <c r="D153">
        <v>720091.66794975998</v>
      </c>
      <c r="E153">
        <v>5661457.0580686098</v>
      </c>
      <c r="F153">
        <v>9391186.2913633604</v>
      </c>
      <c r="G153" s="1">
        <f t="shared" si="10"/>
        <v>1.0311417112747994</v>
      </c>
      <c r="H153" s="3">
        <f t="shared" si="11"/>
        <v>1.0311417112747995E-2</v>
      </c>
      <c r="K153">
        <v>1412716.5203457701</v>
      </c>
      <c r="L153">
        <v>14309.1759783813</v>
      </c>
      <c r="M153">
        <v>611243.53974545002</v>
      </c>
      <c r="N153">
        <v>17173361.6201967</v>
      </c>
      <c r="O153">
        <v>19211630.856266301</v>
      </c>
      <c r="P153" s="1">
        <f t="shared" si="12"/>
        <v>8.3252560210576296E-2</v>
      </c>
      <c r="Q153" s="3">
        <f t="shared" si="13"/>
        <v>8.3252560210576301E-4</v>
      </c>
      <c r="T153">
        <f t="shared" si="14"/>
        <v>12.385705720841058</v>
      </c>
    </row>
    <row r="154" spans="1:20" x14ac:dyDescent="0.25">
      <c r="A154" t="s">
        <v>165</v>
      </c>
      <c r="B154">
        <v>2164392.5923600299</v>
      </c>
      <c r="C154">
        <v>38481.718436960196</v>
      </c>
      <c r="D154">
        <v>1076866.18947226</v>
      </c>
      <c r="E154">
        <v>5927982.3963400703</v>
      </c>
      <c r="F154">
        <v>9207722.8966093194</v>
      </c>
      <c r="G154" s="1">
        <f t="shared" si="10"/>
        <v>0.6449668965854205</v>
      </c>
      <c r="H154" s="3">
        <f t="shared" si="11"/>
        <v>6.4496689658542052E-3</v>
      </c>
      <c r="K154">
        <v>2780876.28110395</v>
      </c>
      <c r="L154">
        <v>28379.052646549899</v>
      </c>
      <c r="M154">
        <v>1457360.2540212499</v>
      </c>
      <c r="N154">
        <v>25147894.101106599</v>
      </c>
      <c r="O154">
        <v>29414509.688878398</v>
      </c>
      <c r="P154" s="1">
        <f t="shared" si="12"/>
        <v>0.11272142017699428</v>
      </c>
      <c r="Q154" s="3">
        <f t="shared" si="13"/>
        <v>1.1272142017699428E-3</v>
      </c>
      <c r="T154">
        <f t="shared" si="14"/>
        <v>5.7217775962430082</v>
      </c>
    </row>
    <row r="155" spans="1:20" x14ac:dyDescent="0.25">
      <c r="A155" t="s">
        <v>166</v>
      </c>
      <c r="B155">
        <v>1432342.60847353</v>
      </c>
      <c r="C155">
        <v>23177.630934358</v>
      </c>
      <c r="D155">
        <v>196473.57427491201</v>
      </c>
      <c r="E155">
        <v>2592200.77147314</v>
      </c>
      <c r="F155">
        <v>4244194.5851559397</v>
      </c>
      <c r="G155" s="1">
        <f t="shared" si="10"/>
        <v>0.88620564095132914</v>
      </c>
      <c r="H155" s="3">
        <f t="shared" si="11"/>
        <v>8.8620564095132914E-3</v>
      </c>
      <c r="K155">
        <v>3273192.6323733199</v>
      </c>
      <c r="L155">
        <v>90312.712120408803</v>
      </c>
      <c r="M155">
        <v>840537.43569731805</v>
      </c>
      <c r="N155">
        <v>22533277.975081101</v>
      </c>
      <c r="O155">
        <v>26737320.755272102</v>
      </c>
      <c r="P155" s="1">
        <f t="shared" si="12"/>
        <v>0.39919707428007878</v>
      </c>
      <c r="Q155" s="3">
        <f t="shared" si="13"/>
        <v>3.991970742800788E-3</v>
      </c>
      <c r="T155">
        <f t="shared" si="14"/>
        <v>2.219970280467443</v>
      </c>
    </row>
    <row r="156" spans="1:20" x14ac:dyDescent="0.25">
      <c r="A156" t="s">
        <v>167</v>
      </c>
      <c r="B156">
        <v>2829581.6416446702</v>
      </c>
      <c r="C156">
        <v>132061.671032321</v>
      </c>
      <c r="D156">
        <v>434406.61483264301</v>
      </c>
      <c r="E156">
        <v>9508358.9297432601</v>
      </c>
      <c r="F156">
        <v>12904408.8572529</v>
      </c>
      <c r="G156" s="1">
        <f t="shared" si="10"/>
        <v>1.3698745781039523</v>
      </c>
      <c r="H156" s="3">
        <f t="shared" si="11"/>
        <v>1.3698745781039523E-2</v>
      </c>
      <c r="I156" s="1"/>
      <c r="J156" s="1"/>
      <c r="K156">
        <v>1196842.9051983</v>
      </c>
      <c r="L156">
        <v>14400.2125651965</v>
      </c>
      <c r="M156">
        <v>152949.57109736701</v>
      </c>
      <c r="N156">
        <v>13636319.855187999</v>
      </c>
      <c r="O156">
        <v>15000512.5440489</v>
      </c>
      <c r="P156" s="1">
        <f t="shared" si="12"/>
        <v>0.10549049789112454</v>
      </c>
      <c r="Q156" s="3">
        <f t="shared" si="13"/>
        <v>1.0549049789112454E-3</v>
      </c>
      <c r="T156">
        <f t="shared" si="14"/>
        <v>12.98576275104686</v>
      </c>
    </row>
    <row r="157" spans="1:20" x14ac:dyDescent="0.25">
      <c r="A157" t="s">
        <v>168</v>
      </c>
      <c r="B157">
        <v>1869685.5765631001</v>
      </c>
      <c r="C157">
        <v>127038.319850296</v>
      </c>
      <c r="D157">
        <v>1037625.57732025</v>
      </c>
      <c r="E157">
        <v>7648571.7140377602</v>
      </c>
      <c r="F157">
        <v>10682921.1877714</v>
      </c>
      <c r="G157" s="1">
        <f t="shared" si="10"/>
        <v>1.6338051843730741</v>
      </c>
      <c r="H157" s="3">
        <f t="shared" si="11"/>
        <v>1.6338051843730741E-2</v>
      </c>
      <c r="K157">
        <v>1230634.90820836</v>
      </c>
      <c r="L157">
        <v>44153.969752433797</v>
      </c>
      <c r="M157">
        <v>596710.230289803</v>
      </c>
      <c r="N157">
        <v>15377123.455156101</v>
      </c>
      <c r="O157">
        <v>17248622.563406698</v>
      </c>
      <c r="P157" s="1">
        <f t="shared" si="12"/>
        <v>0.28631849707285628</v>
      </c>
      <c r="Q157" s="3">
        <f t="shared" si="13"/>
        <v>2.863184970728563E-3</v>
      </c>
      <c r="T157">
        <f t="shared" si="14"/>
        <v>5.7062509096551235</v>
      </c>
    </row>
    <row r="158" spans="1:20" x14ac:dyDescent="0.25">
      <c r="A158" t="s">
        <v>169</v>
      </c>
      <c r="B158">
        <v>2855745.09378336</v>
      </c>
      <c r="C158">
        <v>11124.241410774401</v>
      </c>
      <c r="D158">
        <v>1104823.7503253899</v>
      </c>
      <c r="E158">
        <v>3279074.8331218502</v>
      </c>
      <c r="F158">
        <v>7250767.9186413903</v>
      </c>
      <c r="G158" s="1">
        <f t="shared" si="10"/>
        <v>0.33810238100424395</v>
      </c>
      <c r="H158" s="3">
        <f t="shared" si="11"/>
        <v>3.3810238100424393E-3</v>
      </c>
      <c r="I158" s="1"/>
      <c r="J158" s="1"/>
      <c r="K158">
        <v>2205289.14968094</v>
      </c>
      <c r="L158">
        <v>10403.923092736701</v>
      </c>
      <c r="M158">
        <v>485664.60464496998</v>
      </c>
      <c r="N158">
        <v>17833840.129114099</v>
      </c>
      <c r="O158">
        <v>20535197.8065328</v>
      </c>
      <c r="P158" s="1">
        <f t="shared" si="12"/>
        <v>5.8304084287896879E-2</v>
      </c>
      <c r="Q158" s="3">
        <f t="shared" si="13"/>
        <v>5.8304084287896882E-4</v>
      </c>
      <c r="T158">
        <f t="shared" si="14"/>
        <v>5.7989484807744294</v>
      </c>
    </row>
    <row r="159" spans="1:20" x14ac:dyDescent="0.25">
      <c r="A159" t="s">
        <v>170</v>
      </c>
      <c r="B159">
        <v>6410231.0093239397</v>
      </c>
      <c r="C159">
        <v>118411.84115322601</v>
      </c>
      <c r="D159">
        <v>1970225.4744657299</v>
      </c>
      <c r="E159">
        <v>6621641.8551193802</v>
      </c>
      <c r="F159">
        <v>15120510.180062201</v>
      </c>
      <c r="G159" s="1">
        <f t="shared" si="10"/>
        <v>1.7568382462399414</v>
      </c>
      <c r="H159" s="3">
        <f t="shared" si="11"/>
        <v>1.7568382462399414E-2</v>
      </c>
      <c r="K159">
        <v>733025.68332949397</v>
      </c>
      <c r="L159">
        <v>18882.584176841799</v>
      </c>
      <c r="M159">
        <v>251024.79466486</v>
      </c>
      <c r="N159">
        <v>9338071.3439364508</v>
      </c>
      <c r="O159">
        <v>10341004.406107601</v>
      </c>
      <c r="P159" s="1">
        <f t="shared" si="12"/>
        <v>0.20180268409902524</v>
      </c>
      <c r="Q159" s="3">
        <f t="shared" si="13"/>
        <v>2.0180268409902523E-3</v>
      </c>
      <c r="T159">
        <f t="shared" si="14"/>
        <v>8.7057228900773946</v>
      </c>
    </row>
    <row r="160" spans="1:20" x14ac:dyDescent="0.25">
      <c r="A160" t="s">
        <v>171</v>
      </c>
      <c r="B160">
        <v>2937700.9533696701</v>
      </c>
      <c r="C160">
        <v>114186.470748997</v>
      </c>
      <c r="D160">
        <v>838101.53465037304</v>
      </c>
      <c r="E160">
        <v>5875531.87942529</v>
      </c>
      <c r="F160">
        <v>9765520.8381943293</v>
      </c>
      <c r="G160" s="1">
        <f t="shared" si="10"/>
        <v>1.9063746252054476</v>
      </c>
      <c r="H160" s="3">
        <f t="shared" si="11"/>
        <v>1.9063746252054477E-2</v>
      </c>
      <c r="I160" s="1"/>
      <c r="J160" s="1"/>
      <c r="K160">
        <v>1607555.62655459</v>
      </c>
      <c r="L160">
        <v>12239.297043390699</v>
      </c>
      <c r="M160">
        <v>355590.69238608499</v>
      </c>
      <c r="N160">
        <v>11881586.702995401</v>
      </c>
      <c r="O160">
        <v>13856972.3189795</v>
      </c>
      <c r="P160" s="1">
        <f t="shared" si="12"/>
        <v>0.10290462499914477</v>
      </c>
      <c r="Q160" s="3">
        <f t="shared" si="13"/>
        <v>1.0290462499914477E-3</v>
      </c>
      <c r="T160">
        <f t="shared" si="14"/>
        <v>18.525645715353331</v>
      </c>
    </row>
    <row r="161" spans="1:20" x14ac:dyDescent="0.25">
      <c r="A161" t="s">
        <v>172</v>
      </c>
      <c r="B161">
        <v>4183370.2650497202</v>
      </c>
      <c r="C161">
        <v>55786.449200748997</v>
      </c>
      <c r="D161">
        <v>761072.154046276</v>
      </c>
      <c r="E161">
        <v>7064577.7175389696</v>
      </c>
      <c r="F161">
        <v>12064806.585835701</v>
      </c>
      <c r="G161" s="1">
        <f t="shared" si="10"/>
        <v>0.78347747242108501</v>
      </c>
      <c r="H161" s="3">
        <f t="shared" si="11"/>
        <v>7.8347747242108502E-3</v>
      </c>
      <c r="I161" s="1"/>
      <c r="J161" s="1"/>
      <c r="K161">
        <v>1096680.01183438</v>
      </c>
      <c r="L161">
        <v>11647.7869047158</v>
      </c>
      <c r="M161">
        <v>325618.140455288</v>
      </c>
      <c r="N161">
        <v>13264335.4992471</v>
      </c>
      <c r="O161">
        <v>14698281.4384415</v>
      </c>
      <c r="P161" s="1">
        <f t="shared" si="12"/>
        <v>8.7735775600633753E-2</v>
      </c>
      <c r="Q161" s="3">
        <f t="shared" si="13"/>
        <v>8.7735775600633755E-4</v>
      </c>
      <c r="T161">
        <f t="shared" si="14"/>
        <v>8.9299657643355417</v>
      </c>
    </row>
    <row r="162" spans="1:20" x14ac:dyDescent="0.25">
      <c r="A162" t="s">
        <v>173</v>
      </c>
      <c r="B162">
        <v>1215850.4217374199</v>
      </c>
      <c r="C162">
        <v>48377.184272450599</v>
      </c>
      <c r="D162">
        <v>345754.68888984801</v>
      </c>
      <c r="E162">
        <v>1829575.13712088</v>
      </c>
      <c r="F162">
        <v>3439557.4320206102</v>
      </c>
      <c r="G162" s="1">
        <f t="shared" si="10"/>
        <v>2.5760603036267482</v>
      </c>
      <c r="H162" s="3">
        <f t="shared" si="11"/>
        <v>2.5760603036267482E-2</v>
      </c>
      <c r="I162" s="1"/>
      <c r="J162" s="1"/>
      <c r="K162">
        <v>1426897.9682708201</v>
      </c>
      <c r="L162">
        <v>41204.480500416001</v>
      </c>
      <c r="M162">
        <v>258597.531607071</v>
      </c>
      <c r="N162">
        <v>9956535.1760503203</v>
      </c>
      <c r="O162">
        <v>11683235.1564286</v>
      </c>
      <c r="P162" s="1">
        <f t="shared" si="12"/>
        <v>0.41213796233849648</v>
      </c>
      <c r="Q162" s="3">
        <f t="shared" si="13"/>
        <v>4.1213796233849648E-3</v>
      </c>
      <c r="T162">
        <f t="shared" si="14"/>
        <v>6.2504805163058057</v>
      </c>
    </row>
    <row r="163" spans="1:20" x14ac:dyDescent="0.25">
      <c r="A163" t="s">
        <v>174</v>
      </c>
      <c r="B163">
        <v>2374114.8474789402</v>
      </c>
      <c r="C163">
        <v>305422.10617145401</v>
      </c>
      <c r="D163">
        <v>614126.32263954205</v>
      </c>
      <c r="E163">
        <v>4254658.3688431401</v>
      </c>
      <c r="F163">
        <v>7548321.64513308</v>
      </c>
      <c r="G163" s="1">
        <f t="shared" si="10"/>
        <v>6.6977350036893046</v>
      </c>
      <c r="H163" s="3">
        <f t="shared" si="11"/>
        <v>6.6977350036893049E-2</v>
      </c>
      <c r="K163">
        <v>2161010.8999508801</v>
      </c>
      <c r="L163">
        <v>115445.982495321</v>
      </c>
      <c r="M163">
        <v>873253.91081495595</v>
      </c>
      <c r="N163">
        <v>13757935.850948</v>
      </c>
      <c r="O163">
        <v>16907646.644209199</v>
      </c>
      <c r="P163" s="1">
        <f t="shared" si="12"/>
        <v>0.83214016511118949</v>
      </c>
      <c r="Q163" s="3">
        <f t="shared" si="13"/>
        <v>8.3214016511118944E-3</v>
      </c>
      <c r="T163">
        <f t="shared" si="14"/>
        <v>8.0488063003116341</v>
      </c>
    </row>
    <row r="164" spans="1:20" x14ac:dyDescent="0.25">
      <c r="A164" t="s">
        <v>175</v>
      </c>
      <c r="B164">
        <v>2992767.9544108501</v>
      </c>
      <c r="C164">
        <v>148534.96251841201</v>
      </c>
      <c r="D164">
        <v>1103715.79826847</v>
      </c>
      <c r="E164">
        <v>10086153.292052399</v>
      </c>
      <c r="F164">
        <v>14331172.0072501</v>
      </c>
      <c r="G164" s="1">
        <f t="shared" si="10"/>
        <v>1.451289563725366</v>
      </c>
      <c r="H164" s="3">
        <f t="shared" si="11"/>
        <v>1.4512895637253659E-2</v>
      </c>
      <c r="K164">
        <v>961935.79299252096</v>
      </c>
      <c r="L164">
        <v>108062.310052771</v>
      </c>
      <c r="M164">
        <v>322124.36633927299</v>
      </c>
      <c r="N164">
        <v>10521642.142219501</v>
      </c>
      <c r="O164">
        <v>11913764.6116041</v>
      </c>
      <c r="P164" s="1">
        <f t="shared" si="12"/>
        <v>1.016606910737494</v>
      </c>
      <c r="Q164" s="3">
        <f t="shared" si="13"/>
        <v>1.016606910737494E-2</v>
      </c>
      <c r="T164">
        <f t="shared" si="14"/>
        <v>1.4275818395455653</v>
      </c>
    </row>
    <row r="165" spans="1:20" x14ac:dyDescent="0.25">
      <c r="A165" t="s">
        <v>176</v>
      </c>
      <c r="B165">
        <v>3188930.7397235199</v>
      </c>
      <c r="C165">
        <v>43964.660412720703</v>
      </c>
      <c r="D165">
        <v>1224191.1954419899</v>
      </c>
      <c r="E165">
        <v>5076629.4865796203</v>
      </c>
      <c r="F165">
        <v>9533716.0821578503</v>
      </c>
      <c r="G165" s="1">
        <f t="shared" si="10"/>
        <v>0.85858513974484807</v>
      </c>
      <c r="H165" s="3">
        <f t="shared" si="11"/>
        <v>8.5858513974484806E-3</v>
      </c>
      <c r="K165">
        <v>2331712.1784735899</v>
      </c>
      <c r="L165">
        <v>26301.7846028801</v>
      </c>
      <c r="M165">
        <v>352120.56194620999</v>
      </c>
      <c r="N165">
        <v>18586281.871262599</v>
      </c>
      <c r="O165">
        <v>21296416.396285299</v>
      </c>
      <c r="P165" s="1">
        <f t="shared" si="12"/>
        <v>0.1413118408985175</v>
      </c>
      <c r="Q165" s="3">
        <f t="shared" si="13"/>
        <v>1.413118408985175E-3</v>
      </c>
      <c r="T165">
        <f t="shared" si="14"/>
        <v>6.0758188010687464</v>
      </c>
    </row>
    <row r="166" spans="1:20" x14ac:dyDescent="0.25">
      <c r="A166" t="s">
        <v>177</v>
      </c>
      <c r="B166">
        <v>2642022.5419948301</v>
      </c>
      <c r="C166">
        <v>271384.40493583801</v>
      </c>
      <c r="D166">
        <v>1374124.5918191101</v>
      </c>
      <c r="E166">
        <v>5728149.9681488303</v>
      </c>
      <c r="F166">
        <v>10015681.506898601</v>
      </c>
      <c r="G166" s="1">
        <f t="shared" si="10"/>
        <v>4.5234244536264807</v>
      </c>
      <c r="H166" s="3">
        <f t="shared" si="11"/>
        <v>4.5234244536264803E-2</v>
      </c>
      <c r="I166" s="1"/>
      <c r="J166" s="1"/>
      <c r="K166">
        <v>2312944.7936839</v>
      </c>
      <c r="L166">
        <v>106564.327963477</v>
      </c>
      <c r="M166">
        <v>494749.32927743503</v>
      </c>
      <c r="N166">
        <v>26915668.3423508</v>
      </c>
      <c r="O166">
        <v>29829926.793275598</v>
      </c>
      <c r="P166" s="1">
        <f t="shared" si="12"/>
        <v>0.39435796909759058</v>
      </c>
      <c r="Q166" s="3">
        <f t="shared" si="13"/>
        <v>3.9435796909759058E-3</v>
      </c>
      <c r="T166">
        <f t="shared" si="14"/>
        <v>11.470351325668487</v>
      </c>
    </row>
    <row r="167" spans="1:20" x14ac:dyDescent="0.25">
      <c r="A167" t="s">
        <v>178</v>
      </c>
      <c r="B167">
        <v>1755085.6618653799</v>
      </c>
      <c r="C167">
        <v>24609.953261616702</v>
      </c>
      <c r="D167">
        <v>126707.247515918</v>
      </c>
      <c r="E167">
        <v>4395919.49692812</v>
      </c>
      <c r="F167">
        <v>6302322.3595710397</v>
      </c>
      <c r="G167" s="1">
        <f t="shared" ref="G167:G202" si="15">(C167/(C167+E167))*100</f>
        <v>0.55671958616994166</v>
      </c>
      <c r="H167" s="3">
        <f t="shared" ref="H167:H202" si="16">(C167/(C167+E167))</f>
        <v>5.5671958616994172E-3</v>
      </c>
      <c r="K167">
        <v>710905.75204382697</v>
      </c>
      <c r="L167">
        <v>10980.946568855599</v>
      </c>
      <c r="M167">
        <v>126401.141483246</v>
      </c>
      <c r="N167">
        <v>9786867.0207173806</v>
      </c>
      <c r="O167">
        <v>10635154.860813299</v>
      </c>
      <c r="P167" s="1">
        <f t="shared" ref="P167:P202" si="17">(L167/(L167+N167))*100</f>
        <v>0.11207508634058805</v>
      </c>
      <c r="Q167" s="3">
        <f t="shared" ref="Q167:Q202" si="18">(L167/(L167+N167))</f>
        <v>1.1207508634058804E-3</v>
      </c>
      <c r="T167">
        <f t="shared" ref="T167:T230" si="19">H167/Q167</f>
        <v>4.9673803906615905</v>
      </c>
    </row>
    <row r="168" spans="1:20" x14ac:dyDescent="0.25">
      <c r="A168" t="s">
        <v>179</v>
      </c>
      <c r="B168">
        <v>883838.90617644705</v>
      </c>
      <c r="C168">
        <v>37795.031466275403</v>
      </c>
      <c r="D168">
        <v>416091.53234043601</v>
      </c>
      <c r="E168">
        <v>2950717.5655722902</v>
      </c>
      <c r="F168">
        <v>4288443.0355554502</v>
      </c>
      <c r="G168" s="1">
        <f t="shared" si="15"/>
        <v>1.2646770003154071</v>
      </c>
      <c r="H168" s="3">
        <f t="shared" si="16"/>
        <v>1.2646770003154071E-2</v>
      </c>
      <c r="K168">
        <v>2127259.6081073098</v>
      </c>
      <c r="L168">
        <v>14804.6229635534</v>
      </c>
      <c r="M168">
        <v>400569.028496388</v>
      </c>
      <c r="N168">
        <v>12663634.9464591</v>
      </c>
      <c r="O168">
        <v>15206268.206026301</v>
      </c>
      <c r="P168" s="1">
        <f t="shared" si="17"/>
        <v>0.11677007160454185</v>
      </c>
      <c r="Q168" s="3">
        <f t="shared" si="18"/>
        <v>1.1677007160454185E-3</v>
      </c>
      <c r="T168">
        <f t="shared" si="19"/>
        <v>10.830489207871793</v>
      </c>
    </row>
    <row r="169" spans="1:20" x14ac:dyDescent="0.25">
      <c r="A169" t="s">
        <v>180</v>
      </c>
      <c r="B169">
        <v>4062652.1535692299</v>
      </c>
      <c r="C169">
        <v>43810.616977004996</v>
      </c>
      <c r="D169">
        <v>1097902.5400559499</v>
      </c>
      <c r="E169">
        <v>5648381.0001990404</v>
      </c>
      <c r="F169">
        <v>10852746.310801201</v>
      </c>
      <c r="G169" s="1">
        <f t="shared" si="15"/>
        <v>0.76966166853567541</v>
      </c>
      <c r="H169" s="3">
        <f t="shared" si="16"/>
        <v>7.6966166853567539E-3</v>
      </c>
      <c r="K169">
        <v>3053991.25845371</v>
      </c>
      <c r="L169">
        <v>198637.60703733799</v>
      </c>
      <c r="M169">
        <v>440494.271718556</v>
      </c>
      <c r="N169">
        <v>26395379.873417001</v>
      </c>
      <c r="O169">
        <v>30088503.0106267</v>
      </c>
      <c r="P169" s="1">
        <f t="shared" si="17"/>
        <v>0.74692590987175822</v>
      </c>
      <c r="Q169" s="3">
        <f t="shared" si="18"/>
        <v>7.4692590987175816E-3</v>
      </c>
      <c r="T169">
        <f t="shared" si="19"/>
        <v>1.03043910830168</v>
      </c>
    </row>
    <row r="170" spans="1:20" x14ac:dyDescent="0.25">
      <c r="A170" t="s">
        <v>181</v>
      </c>
      <c r="B170">
        <v>2236710.9710186999</v>
      </c>
      <c r="C170">
        <v>38935.804307987601</v>
      </c>
      <c r="D170">
        <v>936637.24989211594</v>
      </c>
      <c r="E170">
        <v>6701907.0046898099</v>
      </c>
      <c r="F170">
        <v>9914191.0299086291</v>
      </c>
      <c r="G170" s="1">
        <f t="shared" si="15"/>
        <v>0.57761032872648199</v>
      </c>
      <c r="H170" s="3">
        <f t="shared" si="16"/>
        <v>5.7761032872648199E-3</v>
      </c>
      <c r="I170" s="1"/>
      <c r="J170" s="1"/>
      <c r="K170">
        <v>3693102.4596810401</v>
      </c>
      <c r="L170">
        <v>10646.7936843923</v>
      </c>
      <c r="M170">
        <v>719236.16073549201</v>
      </c>
      <c r="N170">
        <v>27840234.604489598</v>
      </c>
      <c r="O170">
        <v>32263220.018590599</v>
      </c>
      <c r="P170" s="1">
        <f t="shared" si="17"/>
        <v>3.8227851866441627E-2</v>
      </c>
      <c r="Q170" s="3">
        <f t="shared" si="18"/>
        <v>3.8227851866441627E-4</v>
      </c>
      <c r="T170">
        <f t="shared" si="19"/>
        <v>15.109672673853224</v>
      </c>
    </row>
    <row r="171" spans="1:20" x14ac:dyDescent="0.25">
      <c r="A171" t="s">
        <v>182</v>
      </c>
      <c r="B171">
        <v>3519955.5735723199</v>
      </c>
      <c r="C171">
        <v>72672.627266770898</v>
      </c>
      <c r="D171">
        <v>768210.45342612895</v>
      </c>
      <c r="E171">
        <v>5132096.7713574003</v>
      </c>
      <c r="F171">
        <v>9492935.4256226309</v>
      </c>
      <c r="G171" s="1">
        <f t="shared" si="15"/>
        <v>1.3962698767399988</v>
      </c>
      <c r="H171" s="3">
        <f t="shared" si="16"/>
        <v>1.3962698767399988E-2</v>
      </c>
      <c r="I171" s="1"/>
      <c r="J171" s="1"/>
      <c r="K171">
        <v>1074378.57526036</v>
      </c>
      <c r="L171">
        <v>4388.6842668122499</v>
      </c>
      <c r="M171">
        <v>186173.50130245701</v>
      </c>
      <c r="N171">
        <v>8958717.2760263793</v>
      </c>
      <c r="O171">
        <v>10223658.036855999</v>
      </c>
      <c r="P171" s="1">
        <f t="shared" si="17"/>
        <v>4.8963877993345638E-2</v>
      </c>
      <c r="Q171" s="3">
        <f t="shared" si="18"/>
        <v>4.8963877993345639E-4</v>
      </c>
      <c r="T171">
        <f t="shared" si="19"/>
        <v>28.516325380309066</v>
      </c>
    </row>
    <row r="172" spans="1:20" x14ac:dyDescent="0.25">
      <c r="A172" t="s">
        <v>183</v>
      </c>
      <c r="B172">
        <v>3410876.5988996201</v>
      </c>
      <c r="C172">
        <v>12666.919459316699</v>
      </c>
      <c r="D172">
        <v>608415.41533417196</v>
      </c>
      <c r="E172">
        <v>7285345.6871133698</v>
      </c>
      <c r="F172">
        <v>11317304.6208064</v>
      </c>
      <c r="G172" s="1">
        <f t="shared" si="15"/>
        <v>0.17356669743086911</v>
      </c>
      <c r="H172" s="3">
        <f t="shared" si="16"/>
        <v>1.7356669743086911E-3</v>
      </c>
      <c r="K172">
        <v>2034015.9794656199</v>
      </c>
      <c r="L172">
        <v>7959.94660691434</v>
      </c>
      <c r="M172">
        <v>403789.03268384701</v>
      </c>
      <c r="N172">
        <v>17332393.209647</v>
      </c>
      <c r="O172">
        <v>19778158.168403398</v>
      </c>
      <c r="P172" s="1">
        <f t="shared" si="17"/>
        <v>4.5904178162850917E-2</v>
      </c>
      <c r="Q172" s="3">
        <f t="shared" si="18"/>
        <v>4.5904178162850919E-4</v>
      </c>
      <c r="T172">
        <f t="shared" si="19"/>
        <v>3.7810653491087272</v>
      </c>
    </row>
    <row r="173" spans="1:20" x14ac:dyDescent="0.25">
      <c r="A173" t="s">
        <v>184</v>
      </c>
      <c r="B173">
        <v>9787239.9911680296</v>
      </c>
      <c r="C173">
        <v>24312.3261728535</v>
      </c>
      <c r="D173">
        <v>3491575.5794367199</v>
      </c>
      <c r="E173">
        <v>8202865.8831297699</v>
      </c>
      <c r="F173">
        <v>21505993.779907301</v>
      </c>
      <c r="G173" s="1">
        <f t="shared" si="15"/>
        <v>0.29551233186322745</v>
      </c>
      <c r="H173" s="3">
        <f t="shared" si="16"/>
        <v>2.9551233186322742E-3</v>
      </c>
      <c r="K173">
        <v>1636664.74091804</v>
      </c>
      <c r="L173">
        <v>24957.334676365099</v>
      </c>
      <c r="M173">
        <v>302629.24396964198</v>
      </c>
      <c r="N173">
        <v>18068722.814704102</v>
      </c>
      <c r="O173">
        <v>20032974.134268198</v>
      </c>
      <c r="P173" s="1">
        <f t="shared" si="17"/>
        <v>0.1379339883888665</v>
      </c>
      <c r="Q173" s="3">
        <f t="shared" si="18"/>
        <v>1.379339883888665E-3</v>
      </c>
      <c r="T173">
        <f t="shared" si="19"/>
        <v>2.1424185243604543</v>
      </c>
    </row>
    <row r="174" spans="1:20" x14ac:dyDescent="0.25">
      <c r="A174" t="s">
        <v>185</v>
      </c>
      <c r="B174">
        <v>3781254.99944282</v>
      </c>
      <c r="C174">
        <v>8281.7757882205406</v>
      </c>
      <c r="D174">
        <v>978552.90842814604</v>
      </c>
      <c r="E174">
        <v>5941780.56756783</v>
      </c>
      <c r="F174">
        <v>10709870.251227001</v>
      </c>
      <c r="G174" s="1">
        <f t="shared" si="15"/>
        <v>0.13918805065073181</v>
      </c>
      <c r="H174" s="3">
        <f t="shared" si="16"/>
        <v>1.3918805065073181E-3</v>
      </c>
      <c r="K174">
        <v>1200709.2967654001</v>
      </c>
      <c r="L174">
        <v>12491.9011742534</v>
      </c>
      <c r="M174">
        <v>247607.847429455</v>
      </c>
      <c r="N174">
        <v>14293557.8895078</v>
      </c>
      <c r="O174">
        <v>15754366.9348769</v>
      </c>
      <c r="P174" s="1">
        <f t="shared" si="17"/>
        <v>8.7319010887196402E-2</v>
      </c>
      <c r="Q174" s="3">
        <f t="shared" si="18"/>
        <v>8.73190108871964E-4</v>
      </c>
      <c r="T174">
        <f t="shared" si="19"/>
        <v>1.5940177200420049</v>
      </c>
    </row>
    <row r="175" spans="1:20" x14ac:dyDescent="0.25">
      <c r="A175" t="s">
        <v>186</v>
      </c>
      <c r="B175">
        <v>593631.90091239696</v>
      </c>
      <c r="C175">
        <v>11540.949596316501</v>
      </c>
      <c r="D175">
        <v>142645.699715255</v>
      </c>
      <c r="E175">
        <v>4019304.2377820401</v>
      </c>
      <c r="F175">
        <v>4767122.7880060105</v>
      </c>
      <c r="G175" s="1">
        <f t="shared" si="15"/>
        <v>0.28631587321820917</v>
      </c>
      <c r="H175" s="3">
        <f t="shared" si="16"/>
        <v>2.8631587321820916E-3</v>
      </c>
      <c r="K175">
        <v>4401169.8564216299</v>
      </c>
      <c r="L175">
        <v>18114.954355317099</v>
      </c>
      <c r="M175">
        <v>696929.53407955403</v>
      </c>
      <c r="N175">
        <v>24655045.655547202</v>
      </c>
      <c r="O175">
        <v>29771260.000403699</v>
      </c>
      <c r="P175" s="1">
        <f t="shared" si="17"/>
        <v>7.3419675094429135E-2</v>
      </c>
      <c r="Q175" s="3">
        <f t="shared" si="18"/>
        <v>7.3419675094429134E-4</v>
      </c>
      <c r="T175">
        <f t="shared" si="19"/>
        <v>3.8997158847401923</v>
      </c>
    </row>
    <row r="176" spans="1:20" x14ac:dyDescent="0.25">
      <c r="A176" t="s">
        <v>187</v>
      </c>
      <c r="B176">
        <v>3363116.76989887</v>
      </c>
      <c r="C176">
        <v>50451.458521126398</v>
      </c>
      <c r="D176">
        <v>617257.20866766898</v>
      </c>
      <c r="E176">
        <v>5970931.4521481898</v>
      </c>
      <c r="F176">
        <v>10001756.8892358</v>
      </c>
      <c r="G176" s="1">
        <f t="shared" si="15"/>
        <v>0.83787161968608947</v>
      </c>
      <c r="H176" s="3">
        <f t="shared" si="16"/>
        <v>8.3787161968608952E-3</v>
      </c>
      <c r="I176" s="1"/>
      <c r="J176" s="1"/>
      <c r="K176">
        <v>1496587.72179413</v>
      </c>
      <c r="L176">
        <v>27319.8765733773</v>
      </c>
      <c r="M176">
        <v>197498.498602348</v>
      </c>
      <c r="N176">
        <v>15270503.9845013</v>
      </c>
      <c r="O176">
        <v>16991910.081471201</v>
      </c>
      <c r="P176" s="1">
        <f t="shared" si="17"/>
        <v>0.17858668541015654</v>
      </c>
      <c r="Q176" s="3">
        <f t="shared" si="18"/>
        <v>1.7858668541015654E-3</v>
      </c>
      <c r="T176">
        <f t="shared" si="19"/>
        <v>4.691680221074523</v>
      </c>
    </row>
    <row r="177" spans="1:20" x14ac:dyDescent="0.25">
      <c r="A177" t="s">
        <v>188</v>
      </c>
      <c r="B177">
        <v>4254417.4041007701</v>
      </c>
      <c r="C177">
        <v>187236.85583977599</v>
      </c>
      <c r="D177">
        <v>820655.77565305005</v>
      </c>
      <c r="E177">
        <v>7138218.2175741196</v>
      </c>
      <c r="F177">
        <v>12400528.2531677</v>
      </c>
      <c r="G177" s="1">
        <f t="shared" si="15"/>
        <v>2.5559757580018529</v>
      </c>
      <c r="H177" s="3">
        <f t="shared" si="16"/>
        <v>2.5559757580018529E-2</v>
      </c>
      <c r="I177" s="1"/>
      <c r="J177" s="1"/>
      <c r="K177">
        <v>1850400.7847209701</v>
      </c>
      <c r="L177">
        <v>4250.2206300862099</v>
      </c>
      <c r="M177">
        <v>356439.12302711199</v>
      </c>
      <c r="N177">
        <v>15278132.9033275</v>
      </c>
      <c r="O177">
        <v>17489223.0317057</v>
      </c>
      <c r="P177" s="1">
        <f t="shared" si="17"/>
        <v>2.781124249805848E-2</v>
      </c>
      <c r="Q177" s="3">
        <f t="shared" si="18"/>
        <v>2.781124249805848E-4</v>
      </c>
      <c r="T177">
        <f t="shared" si="19"/>
        <v>91.904407297886351</v>
      </c>
    </row>
    <row r="178" spans="1:20" x14ac:dyDescent="0.25">
      <c r="A178" t="s">
        <v>189</v>
      </c>
      <c r="B178">
        <v>4442974.8911240902</v>
      </c>
      <c r="C178">
        <v>58439.913400724901</v>
      </c>
      <c r="D178">
        <v>921924.55693759699</v>
      </c>
      <c r="E178">
        <v>7291588.4450004697</v>
      </c>
      <c r="F178">
        <v>12714927.8064628</v>
      </c>
      <c r="G178" s="1">
        <f t="shared" si="15"/>
        <v>0.79509779488030397</v>
      </c>
      <c r="H178" s="3">
        <f t="shared" si="16"/>
        <v>7.9509779488030393E-3</v>
      </c>
      <c r="I178" s="1"/>
      <c r="J178" s="1"/>
      <c r="K178">
        <v>2640458.8666957198</v>
      </c>
      <c r="L178">
        <v>81696.836742447704</v>
      </c>
      <c r="M178">
        <v>890872.81080866896</v>
      </c>
      <c r="N178">
        <v>26161080.929691002</v>
      </c>
      <c r="O178">
        <v>29774109.443937801</v>
      </c>
      <c r="P178" s="1">
        <f t="shared" si="17"/>
        <v>0.31131169676307779</v>
      </c>
      <c r="Q178" s="3">
        <f t="shared" si="18"/>
        <v>3.113116967630778E-3</v>
      </c>
      <c r="T178">
        <f t="shared" si="19"/>
        <v>2.5540248026254186</v>
      </c>
    </row>
    <row r="179" spans="1:20" x14ac:dyDescent="0.25">
      <c r="A179" t="s">
        <v>190</v>
      </c>
      <c r="B179">
        <v>1480533.1045264399</v>
      </c>
      <c r="C179">
        <v>19471.3009657804</v>
      </c>
      <c r="D179">
        <v>245894.715053569</v>
      </c>
      <c r="E179">
        <v>2372839.7859590701</v>
      </c>
      <c r="F179">
        <v>4118738.9065048601</v>
      </c>
      <c r="G179" s="1">
        <f t="shared" si="15"/>
        <v>0.81391174718875714</v>
      </c>
      <c r="H179" s="3">
        <f t="shared" si="16"/>
        <v>8.139117471887572E-3</v>
      </c>
      <c r="K179">
        <v>1150300.81188983</v>
      </c>
      <c r="L179">
        <v>16854.8828572157</v>
      </c>
      <c r="M179">
        <v>130790.53845854</v>
      </c>
      <c r="N179">
        <v>13640868.293389499</v>
      </c>
      <c r="O179">
        <v>14938814.526595101</v>
      </c>
      <c r="P179" s="1">
        <f t="shared" si="17"/>
        <v>0.12340917032591077</v>
      </c>
      <c r="Q179" s="3">
        <f t="shared" si="18"/>
        <v>1.2340917032591077E-3</v>
      </c>
      <c r="T179">
        <f t="shared" si="19"/>
        <v>6.5952290663595017</v>
      </c>
    </row>
    <row r="180" spans="1:20" x14ac:dyDescent="0.25">
      <c r="A180" t="s">
        <v>191</v>
      </c>
      <c r="B180">
        <v>4476263.5553132901</v>
      </c>
      <c r="C180">
        <v>26638.3741148476</v>
      </c>
      <c r="D180">
        <v>1415151.1741748201</v>
      </c>
      <c r="E180">
        <v>4369618.9563432503</v>
      </c>
      <c r="F180">
        <v>10287672.0599462</v>
      </c>
      <c r="G180" s="1">
        <f t="shared" si="15"/>
        <v>0.60593300420091267</v>
      </c>
      <c r="H180" s="3">
        <f t="shared" si="16"/>
        <v>6.059330042009127E-3</v>
      </c>
      <c r="K180">
        <v>2210354.6221586401</v>
      </c>
      <c r="L180">
        <v>15132.7343694834</v>
      </c>
      <c r="M180">
        <v>384694.32028263301</v>
      </c>
      <c r="N180">
        <v>13506410.0050159</v>
      </c>
      <c r="O180">
        <v>16116591.6818267</v>
      </c>
      <c r="P180" s="1">
        <f t="shared" si="17"/>
        <v>0.11191573817538555</v>
      </c>
      <c r="Q180" s="3">
        <f t="shared" si="18"/>
        <v>1.1191573817538555E-3</v>
      </c>
      <c r="T180">
        <f t="shared" si="19"/>
        <v>5.4141894078502357</v>
      </c>
    </row>
    <row r="181" spans="1:20" x14ac:dyDescent="0.25">
      <c r="A181" t="s">
        <v>192</v>
      </c>
      <c r="B181">
        <v>1869033.9556456101</v>
      </c>
      <c r="C181">
        <v>1768032.07910164</v>
      </c>
      <c r="D181">
        <v>475039.216755089</v>
      </c>
      <c r="E181">
        <v>4089656.47603141</v>
      </c>
      <c r="F181">
        <v>8201761.7275337698</v>
      </c>
      <c r="G181" s="1">
        <f t="shared" si="15"/>
        <v>30.183101447964937</v>
      </c>
      <c r="H181" s="3">
        <f t="shared" si="16"/>
        <v>0.30183101447964938</v>
      </c>
      <c r="K181">
        <v>1034521.58989723</v>
      </c>
      <c r="L181">
        <v>267832.92563662998</v>
      </c>
      <c r="M181">
        <v>420991.36952930503</v>
      </c>
      <c r="N181">
        <v>12351015.9915477</v>
      </c>
      <c r="O181">
        <v>14074361.876610899</v>
      </c>
      <c r="P181" s="1">
        <f t="shared" si="17"/>
        <v>2.1224830203957468</v>
      </c>
      <c r="Q181" s="3">
        <f t="shared" si="18"/>
        <v>2.1224830203957469E-2</v>
      </c>
      <c r="T181">
        <f t="shared" si="19"/>
        <v>14.220656258695138</v>
      </c>
    </row>
    <row r="182" spans="1:20" x14ac:dyDescent="0.25">
      <c r="A182" t="s">
        <v>193</v>
      </c>
      <c r="B182">
        <v>3950405.4265123098</v>
      </c>
      <c r="C182">
        <v>25300.951250649501</v>
      </c>
      <c r="D182">
        <v>1454866.03917737</v>
      </c>
      <c r="E182">
        <v>6114666.2152667399</v>
      </c>
      <c r="F182">
        <v>11545238.632207001</v>
      </c>
      <c r="G182" s="1">
        <f t="shared" si="15"/>
        <v>0.41206981347752536</v>
      </c>
      <c r="H182" s="3">
        <f t="shared" si="16"/>
        <v>4.1206981347752534E-3</v>
      </c>
      <c r="K182">
        <v>1271702.8946128599</v>
      </c>
      <c r="L182">
        <v>13422.416405956899</v>
      </c>
      <c r="M182">
        <v>205734.668696229</v>
      </c>
      <c r="N182">
        <v>11181712.222699299</v>
      </c>
      <c r="O182">
        <v>12672572.202414401</v>
      </c>
      <c r="P182" s="1">
        <f t="shared" si="17"/>
        <v>0.11989508691634326</v>
      </c>
      <c r="Q182" s="3">
        <f t="shared" si="18"/>
        <v>1.1989508691634327E-3</v>
      </c>
      <c r="T182">
        <f t="shared" si="19"/>
        <v>3.4369199278786695</v>
      </c>
    </row>
    <row r="183" spans="1:20" x14ac:dyDescent="0.25">
      <c r="A183" t="s">
        <v>194</v>
      </c>
      <c r="B183">
        <v>2564420.1203271002</v>
      </c>
      <c r="C183">
        <v>81348.309368600894</v>
      </c>
      <c r="D183">
        <v>862929.795634159</v>
      </c>
      <c r="E183">
        <v>5553409.9066043096</v>
      </c>
      <c r="F183">
        <v>9062108.1319341809</v>
      </c>
      <c r="G183" s="1">
        <f t="shared" si="15"/>
        <v>1.4436876659233036</v>
      </c>
      <c r="H183" s="3">
        <f t="shared" si="16"/>
        <v>1.4436876659233036E-2</v>
      </c>
      <c r="I183" s="1"/>
      <c r="J183" s="1"/>
      <c r="K183">
        <v>3816279.1347681098</v>
      </c>
      <c r="L183">
        <v>14187.6699033187</v>
      </c>
      <c r="M183">
        <v>510146.33824109699</v>
      </c>
      <c r="N183">
        <v>25152887.539189201</v>
      </c>
      <c r="O183">
        <v>29493500.682101801</v>
      </c>
      <c r="P183" s="1">
        <f t="shared" si="17"/>
        <v>5.637393215320026E-2</v>
      </c>
      <c r="Q183" s="3">
        <f t="shared" si="18"/>
        <v>5.6373932153200258E-4</v>
      </c>
      <c r="T183">
        <f t="shared" si="19"/>
        <v>25.609135477723594</v>
      </c>
    </row>
    <row r="184" spans="1:20" x14ac:dyDescent="0.25">
      <c r="A184" t="s">
        <v>195</v>
      </c>
      <c r="B184">
        <v>3504885.3251597802</v>
      </c>
      <c r="C184">
        <v>24312.302420640601</v>
      </c>
      <c r="D184">
        <v>1429371.45908698</v>
      </c>
      <c r="E184">
        <v>12993531.7708857</v>
      </c>
      <c r="F184">
        <v>17952100.857553098</v>
      </c>
      <c r="G184" s="1">
        <f t="shared" si="15"/>
        <v>0.18676135836112864</v>
      </c>
      <c r="H184" s="3">
        <f t="shared" si="16"/>
        <v>1.8676135836112864E-3</v>
      </c>
      <c r="K184">
        <v>480200.46614213998</v>
      </c>
      <c r="L184">
        <v>9167.3717895865702</v>
      </c>
      <c r="M184">
        <v>301856.39650932001</v>
      </c>
      <c r="N184">
        <v>8379862.1202618098</v>
      </c>
      <c r="O184">
        <v>9171086.3547028508</v>
      </c>
      <c r="P184" s="1">
        <f t="shared" si="17"/>
        <v>0.1092780970465374</v>
      </c>
      <c r="Q184" s="3">
        <f t="shared" si="18"/>
        <v>1.0927809704653741E-3</v>
      </c>
      <c r="T184">
        <f t="shared" si="19"/>
        <v>1.7090465830640704</v>
      </c>
    </row>
    <row r="185" spans="1:20" x14ac:dyDescent="0.25">
      <c r="A185" t="s">
        <v>196</v>
      </c>
      <c r="B185">
        <v>1339950.8859566301</v>
      </c>
      <c r="C185">
        <v>1068551.3147398999</v>
      </c>
      <c r="D185">
        <v>478288.13085607497</v>
      </c>
      <c r="E185">
        <v>4522930.1977578197</v>
      </c>
      <c r="F185">
        <v>7409720.5293104397</v>
      </c>
      <c r="G185" s="1">
        <f t="shared" si="15"/>
        <v>19.11034333837182</v>
      </c>
      <c r="H185" s="3">
        <f t="shared" si="16"/>
        <v>0.19110343338371821</v>
      </c>
      <c r="K185">
        <v>2306844.73098495</v>
      </c>
      <c r="L185">
        <v>67032.709595336404</v>
      </c>
      <c r="M185">
        <v>1495541.84010679</v>
      </c>
      <c r="N185">
        <v>26549831.197845701</v>
      </c>
      <c r="O185">
        <v>30419250.478532799</v>
      </c>
      <c r="P185" s="1">
        <f t="shared" si="17"/>
        <v>0.25184300385064023</v>
      </c>
      <c r="Q185" s="3">
        <f t="shared" si="18"/>
        <v>2.5184300385064024E-3</v>
      </c>
      <c r="T185">
        <f t="shared" si="19"/>
        <v>75.881970299661504</v>
      </c>
    </row>
    <row r="186" spans="1:20" x14ac:dyDescent="0.25">
      <c r="A186" t="s">
        <v>197</v>
      </c>
      <c r="B186">
        <v>1040984.45467187</v>
      </c>
      <c r="C186">
        <v>1595096.12735563</v>
      </c>
      <c r="D186">
        <v>134363.59893425601</v>
      </c>
      <c r="E186">
        <v>4207500.8554511899</v>
      </c>
      <c r="F186">
        <v>6977945.0364129497</v>
      </c>
      <c r="G186" s="1">
        <f t="shared" si="15"/>
        <v>27.489348856760571</v>
      </c>
      <c r="H186" s="3">
        <f t="shared" si="16"/>
        <v>0.2748934885676057</v>
      </c>
      <c r="K186">
        <v>799243.18728163303</v>
      </c>
      <c r="L186">
        <v>57830.985062116997</v>
      </c>
      <c r="M186">
        <v>165174.64172239701</v>
      </c>
      <c r="N186">
        <v>10879320.295203499</v>
      </c>
      <c r="O186">
        <v>11901569.1092696</v>
      </c>
      <c r="P186" s="1">
        <f t="shared" si="17"/>
        <v>0.52875729319447184</v>
      </c>
      <c r="Q186" s="3">
        <f t="shared" si="18"/>
        <v>5.2875729319447184E-3</v>
      </c>
      <c r="T186">
        <f t="shared" si="19"/>
        <v>51.988595165627821</v>
      </c>
    </row>
    <row r="187" spans="1:20" x14ac:dyDescent="0.25">
      <c r="A187" t="s">
        <v>198</v>
      </c>
      <c r="B187">
        <v>2674449.6812171401</v>
      </c>
      <c r="C187">
        <v>76238.589789206904</v>
      </c>
      <c r="D187">
        <v>523393.71615383599</v>
      </c>
      <c r="E187">
        <v>7503033.3923849501</v>
      </c>
      <c r="F187">
        <v>10777115.3795451</v>
      </c>
      <c r="G187" s="1">
        <f t="shared" si="15"/>
        <v>1.0058827545510174</v>
      </c>
      <c r="H187" s="3">
        <f t="shared" si="16"/>
        <v>1.0058827545510173E-2</v>
      </c>
      <c r="K187">
        <v>4275155.1755960304</v>
      </c>
      <c r="L187">
        <v>14904.442055248601</v>
      </c>
      <c r="M187">
        <v>826136.09576847905</v>
      </c>
      <c r="N187">
        <v>22265742.342218</v>
      </c>
      <c r="O187">
        <v>27381938.055637799</v>
      </c>
      <c r="P187" s="1">
        <f t="shared" si="17"/>
        <v>6.6894117570091699E-2</v>
      </c>
      <c r="Q187" s="3">
        <f t="shared" si="18"/>
        <v>6.6894117570091697E-4</v>
      </c>
      <c r="T187">
        <f t="shared" si="19"/>
        <v>15.036938838412103</v>
      </c>
    </row>
    <row r="188" spans="1:20" x14ac:dyDescent="0.25">
      <c r="A188" t="s">
        <v>199</v>
      </c>
      <c r="B188">
        <v>2943204.9968533898</v>
      </c>
      <c r="C188">
        <v>164792.163467409</v>
      </c>
      <c r="D188">
        <v>305256.152548649</v>
      </c>
      <c r="E188">
        <v>5342450.3322306201</v>
      </c>
      <c r="F188">
        <v>8755703.6451000702</v>
      </c>
      <c r="G188" s="1">
        <f t="shared" si="15"/>
        <v>2.9922808664433433</v>
      </c>
      <c r="H188" s="3">
        <f t="shared" si="16"/>
        <v>2.9922808664433434E-2</v>
      </c>
      <c r="K188">
        <v>4654257.4423522297</v>
      </c>
      <c r="L188">
        <v>48530.019127034</v>
      </c>
      <c r="M188">
        <v>361550.58602940798</v>
      </c>
      <c r="N188">
        <v>16886573.576274499</v>
      </c>
      <c r="O188">
        <v>21950911.623783201</v>
      </c>
      <c r="P188" s="1">
        <f t="shared" si="17"/>
        <v>0.28656464280626892</v>
      </c>
      <c r="Q188" s="3">
        <f t="shared" si="18"/>
        <v>2.8656464280626889E-3</v>
      </c>
      <c r="T188">
        <f t="shared" si="19"/>
        <v>10.441905313721014</v>
      </c>
    </row>
    <row r="189" spans="1:20" x14ac:dyDescent="0.25">
      <c r="A189" t="s">
        <v>200</v>
      </c>
      <c r="B189">
        <v>3454270.1529012402</v>
      </c>
      <c r="C189">
        <v>232032.45336083</v>
      </c>
      <c r="D189">
        <v>817003.92744215101</v>
      </c>
      <c r="E189">
        <v>8242417.7741019595</v>
      </c>
      <c r="F189">
        <v>12745724.307806101</v>
      </c>
      <c r="G189" s="1">
        <f t="shared" si="15"/>
        <v>2.7380236727202942</v>
      </c>
      <c r="H189" s="3">
        <f t="shared" si="16"/>
        <v>2.7380236727202942E-2</v>
      </c>
      <c r="K189">
        <v>1963550.73754643</v>
      </c>
      <c r="L189">
        <v>81521.468953342497</v>
      </c>
      <c r="M189">
        <v>921293.53988574794</v>
      </c>
      <c r="N189">
        <v>21130803.7415592</v>
      </c>
      <c r="O189">
        <v>24097169.4879447</v>
      </c>
      <c r="P189" s="1">
        <f t="shared" si="17"/>
        <v>0.3843118005419866</v>
      </c>
      <c r="Q189" s="3">
        <f t="shared" si="18"/>
        <v>3.8431180054198659E-3</v>
      </c>
      <c r="T189">
        <f t="shared" si="19"/>
        <v>7.124485037563038</v>
      </c>
    </row>
    <row r="190" spans="1:20" x14ac:dyDescent="0.25">
      <c r="A190" t="s">
        <v>201</v>
      </c>
      <c r="B190">
        <v>5630269.2563359998</v>
      </c>
      <c r="C190">
        <v>24137.355451942101</v>
      </c>
      <c r="D190">
        <v>1167335.2763370499</v>
      </c>
      <c r="E190">
        <v>6697889.5958782397</v>
      </c>
      <c r="F190">
        <v>13519631.484003199</v>
      </c>
      <c r="G190" s="1">
        <f t="shared" si="15"/>
        <v>0.35907852834725251</v>
      </c>
      <c r="H190" s="3">
        <f t="shared" si="16"/>
        <v>3.590785283472525E-3</v>
      </c>
      <c r="I190" s="1"/>
      <c r="J190" s="1"/>
      <c r="K190">
        <v>3089574.2096329699</v>
      </c>
      <c r="L190">
        <v>28006.183246941699</v>
      </c>
      <c r="M190">
        <v>736333.28354285704</v>
      </c>
      <c r="N190">
        <v>23460442.9904011</v>
      </c>
      <c r="O190">
        <v>27314356.666823901</v>
      </c>
      <c r="P190" s="1">
        <f t="shared" si="17"/>
        <v>0.11923385422296061</v>
      </c>
      <c r="Q190" s="3">
        <f t="shared" si="18"/>
        <v>1.1923385422296061E-3</v>
      </c>
      <c r="T190">
        <f t="shared" si="19"/>
        <v>3.0115484455932777</v>
      </c>
    </row>
    <row r="191" spans="1:20" x14ac:dyDescent="0.25">
      <c r="A191" t="s">
        <v>202</v>
      </c>
      <c r="B191">
        <v>2564883.8860573098</v>
      </c>
      <c r="C191">
        <v>30603.005580897701</v>
      </c>
      <c r="D191">
        <v>917601.86036002997</v>
      </c>
      <c r="E191">
        <v>3467592.3808768298</v>
      </c>
      <c r="F191">
        <v>6980681.13287507</v>
      </c>
      <c r="G191" s="1">
        <f t="shared" si="15"/>
        <v>0.87482264996885439</v>
      </c>
      <c r="H191" s="3">
        <f t="shared" si="16"/>
        <v>8.7482264996885436E-3</v>
      </c>
      <c r="K191">
        <v>1788004.3483354801</v>
      </c>
      <c r="L191">
        <v>4432.4191221995598</v>
      </c>
      <c r="M191">
        <v>299467.06306651502</v>
      </c>
      <c r="N191">
        <v>11756613.344392199</v>
      </c>
      <c r="O191">
        <v>13848517.1749164</v>
      </c>
      <c r="P191" s="1">
        <f t="shared" si="17"/>
        <v>3.7687287434506826E-2</v>
      </c>
      <c r="Q191" s="3">
        <f t="shared" si="18"/>
        <v>3.7687287434506829E-4</v>
      </c>
      <c r="T191">
        <f t="shared" si="19"/>
        <v>23.212672217100419</v>
      </c>
    </row>
    <row r="192" spans="1:20" x14ac:dyDescent="0.25">
      <c r="A192" t="s">
        <v>203</v>
      </c>
      <c r="B192">
        <v>184945.419824235</v>
      </c>
      <c r="C192">
        <v>7208.0320068635101</v>
      </c>
      <c r="D192">
        <v>169421.54907133299</v>
      </c>
      <c r="E192">
        <v>433689.33258147998</v>
      </c>
      <c r="F192">
        <v>795264.33348391298</v>
      </c>
      <c r="G192" s="1">
        <f t="shared" si="15"/>
        <v>1.6348548632386353</v>
      </c>
      <c r="H192" s="3">
        <f t="shared" si="16"/>
        <v>1.6348548632386353E-2</v>
      </c>
      <c r="K192">
        <v>1646560.36572289</v>
      </c>
      <c r="L192">
        <v>9107.8233885174595</v>
      </c>
      <c r="M192">
        <v>267938.60803403298</v>
      </c>
      <c r="N192">
        <v>15008734.5456833</v>
      </c>
      <c r="O192">
        <v>16932341.342828698</v>
      </c>
      <c r="P192" s="1">
        <f t="shared" si="17"/>
        <v>6.0646683888987786E-2</v>
      </c>
      <c r="Q192" s="3">
        <f t="shared" si="18"/>
        <v>6.0646683888987787E-4</v>
      </c>
      <c r="T192">
        <f t="shared" si="19"/>
        <v>26.95703636873527</v>
      </c>
    </row>
    <row r="193" spans="1:20" x14ac:dyDescent="0.25">
      <c r="A193" t="s">
        <v>204</v>
      </c>
      <c r="B193">
        <v>2259970.0491489698</v>
      </c>
      <c r="C193">
        <v>172081.12668713901</v>
      </c>
      <c r="D193">
        <v>896031.70455140702</v>
      </c>
      <c r="E193">
        <v>6475899.9545155503</v>
      </c>
      <c r="F193">
        <v>9803982.83490308</v>
      </c>
      <c r="G193" s="1">
        <f t="shared" si="15"/>
        <v>2.58847196743237</v>
      </c>
      <c r="H193" s="3">
        <f t="shared" si="16"/>
        <v>2.5884719674323702E-2</v>
      </c>
      <c r="K193">
        <v>2212788.4932051501</v>
      </c>
      <c r="L193">
        <v>15887.121419836199</v>
      </c>
      <c r="M193">
        <v>675549.458505388</v>
      </c>
      <c r="N193">
        <v>16962349.990602002</v>
      </c>
      <c r="O193">
        <v>19866575.063732401</v>
      </c>
      <c r="P193" s="1">
        <f t="shared" si="17"/>
        <v>9.3573445317164008E-2</v>
      </c>
      <c r="Q193" s="3">
        <f t="shared" si="18"/>
        <v>9.357344531716401E-4</v>
      </c>
      <c r="T193">
        <f t="shared" si="19"/>
        <v>27.662462984651601</v>
      </c>
    </row>
    <row r="194" spans="1:20" x14ac:dyDescent="0.25">
      <c r="A194" t="s">
        <v>205</v>
      </c>
      <c r="B194">
        <v>3279488.9948267802</v>
      </c>
      <c r="C194">
        <v>34945.5169130465</v>
      </c>
      <c r="D194">
        <v>1795310.89957587</v>
      </c>
      <c r="E194">
        <v>8570583.2849026099</v>
      </c>
      <c r="F194">
        <v>13680328.696218301</v>
      </c>
      <c r="G194" s="1">
        <f t="shared" si="15"/>
        <v>0.40608215622581428</v>
      </c>
      <c r="H194" s="3">
        <f t="shared" si="16"/>
        <v>4.0608215622581429E-3</v>
      </c>
      <c r="I194" s="1"/>
      <c r="J194" s="1"/>
      <c r="K194">
        <v>1864593.37196522</v>
      </c>
      <c r="L194">
        <v>19528.627182420201</v>
      </c>
      <c r="M194">
        <v>650543.67301557295</v>
      </c>
      <c r="N194">
        <v>17914689.455474202</v>
      </c>
      <c r="O194">
        <v>20449355.127637401</v>
      </c>
      <c r="P194" s="1">
        <f t="shared" si="17"/>
        <v>0.10889031845389156</v>
      </c>
      <c r="Q194" s="3">
        <f t="shared" si="18"/>
        <v>1.0889031845389156E-3</v>
      </c>
      <c r="T194">
        <f t="shared" si="19"/>
        <v>3.7292769641202348</v>
      </c>
    </row>
    <row r="195" spans="1:20" x14ac:dyDescent="0.25">
      <c r="A195" t="s">
        <v>206</v>
      </c>
      <c r="B195">
        <v>1057672.3650223899</v>
      </c>
      <c r="C195">
        <v>22872.6494038604</v>
      </c>
      <c r="D195">
        <v>285185.37583846803</v>
      </c>
      <c r="E195">
        <v>3922700.6722883401</v>
      </c>
      <c r="F195">
        <v>5288431.0625530602</v>
      </c>
      <c r="G195" s="1">
        <f t="shared" si="15"/>
        <v>0.57970407692362036</v>
      </c>
      <c r="H195" s="3">
        <f t="shared" si="16"/>
        <v>5.7970407692362041E-3</v>
      </c>
      <c r="K195">
        <v>996985.14054728299</v>
      </c>
      <c r="L195">
        <v>4388.6820125410404</v>
      </c>
      <c r="M195">
        <v>139520.73197965001</v>
      </c>
      <c r="N195">
        <v>11908407.4398438</v>
      </c>
      <c r="O195">
        <v>13049301.9943833</v>
      </c>
      <c r="P195" s="1">
        <f t="shared" si="17"/>
        <v>3.6840066493618151E-2</v>
      </c>
      <c r="Q195" s="3">
        <f t="shared" si="18"/>
        <v>3.6840066493618148E-4</v>
      </c>
      <c r="T195">
        <f t="shared" si="19"/>
        <v>15.735695727477671</v>
      </c>
    </row>
    <row r="196" spans="1:20" x14ac:dyDescent="0.25">
      <c r="A196" t="s">
        <v>207</v>
      </c>
      <c r="B196">
        <v>1995847.0259816099</v>
      </c>
      <c r="C196">
        <v>34981.829087729297</v>
      </c>
      <c r="D196">
        <v>1671859.09711517</v>
      </c>
      <c r="E196">
        <v>3359305.0837353198</v>
      </c>
      <c r="F196">
        <v>7061993.0359198404</v>
      </c>
      <c r="G196" s="1">
        <f t="shared" si="15"/>
        <v>1.0306090789076725</v>
      </c>
      <c r="H196" s="3">
        <f t="shared" si="16"/>
        <v>1.0306090789076724E-2</v>
      </c>
      <c r="K196">
        <v>1587107.81480992</v>
      </c>
      <c r="L196">
        <v>4324.2929112926404</v>
      </c>
      <c r="M196">
        <v>296311.23954514699</v>
      </c>
      <c r="N196">
        <v>12123164.894321</v>
      </c>
      <c r="O196">
        <v>14010908.2415874</v>
      </c>
      <c r="P196" s="1">
        <f t="shared" si="17"/>
        <v>3.5656951282588778E-2</v>
      </c>
      <c r="Q196" s="3">
        <f t="shared" si="18"/>
        <v>3.5656951282588776E-4</v>
      </c>
      <c r="T196">
        <f t="shared" si="19"/>
        <v>28.903454777720071</v>
      </c>
    </row>
    <row r="197" spans="1:20" x14ac:dyDescent="0.25">
      <c r="A197" t="s">
        <v>208</v>
      </c>
      <c r="B197">
        <v>3207535.00407772</v>
      </c>
      <c r="C197">
        <v>66476.899614466703</v>
      </c>
      <c r="D197">
        <v>1490607.2430956699</v>
      </c>
      <c r="E197">
        <v>6715116.7566428203</v>
      </c>
      <c r="F197">
        <v>11479735.9034306</v>
      </c>
      <c r="G197" s="1">
        <f t="shared" si="15"/>
        <v>0.9802548336574155</v>
      </c>
      <c r="H197" s="3">
        <f t="shared" si="16"/>
        <v>9.8025483365741552E-3</v>
      </c>
      <c r="K197">
        <v>2706329.03831635</v>
      </c>
      <c r="L197">
        <v>18510.816840405201</v>
      </c>
      <c r="M197">
        <v>560695.90963949997</v>
      </c>
      <c r="N197">
        <v>21096308.714310098</v>
      </c>
      <c r="O197">
        <v>24381844.4791063</v>
      </c>
      <c r="P197" s="1">
        <f t="shared" si="17"/>
        <v>8.7667416778515944E-2</v>
      </c>
      <c r="Q197" s="3">
        <f t="shared" si="18"/>
        <v>8.7667416778515949E-4</v>
      </c>
      <c r="T197">
        <f t="shared" si="19"/>
        <v>11.181518398493976</v>
      </c>
    </row>
    <row r="198" spans="1:20" x14ac:dyDescent="0.25">
      <c r="A198" t="s">
        <v>209</v>
      </c>
      <c r="B198">
        <v>5485322.1066677403</v>
      </c>
      <c r="C198">
        <v>74791.029204663806</v>
      </c>
      <c r="D198">
        <v>1981203.68631354</v>
      </c>
      <c r="E198">
        <v>8782233.7486236505</v>
      </c>
      <c r="F198">
        <v>16323550.570809601</v>
      </c>
      <c r="G198" s="1">
        <f t="shared" si="15"/>
        <v>0.84442610335569246</v>
      </c>
      <c r="H198" s="3">
        <f t="shared" si="16"/>
        <v>8.4442610335569244E-3</v>
      </c>
      <c r="K198">
        <v>2582212.78921487</v>
      </c>
      <c r="L198">
        <v>58345.044172717899</v>
      </c>
      <c r="M198">
        <v>472133.02431728499</v>
      </c>
      <c r="N198">
        <v>19156657.253547501</v>
      </c>
      <c r="O198">
        <v>22269348.1112523</v>
      </c>
      <c r="P198" s="1">
        <f t="shared" si="17"/>
        <v>0.30364318082668296</v>
      </c>
      <c r="Q198" s="3">
        <f t="shared" si="18"/>
        <v>3.0364318082668298E-3</v>
      </c>
      <c r="T198">
        <f t="shared" si="19"/>
        <v>2.7809816148569588</v>
      </c>
    </row>
    <row r="199" spans="1:20" x14ac:dyDescent="0.25">
      <c r="A199" t="s">
        <v>210</v>
      </c>
      <c r="B199">
        <v>2962502.9118778999</v>
      </c>
      <c r="C199">
        <v>22483.031578667102</v>
      </c>
      <c r="D199">
        <v>1666579.4654455199</v>
      </c>
      <c r="E199">
        <v>4800533.5618932303</v>
      </c>
      <c r="F199">
        <v>9452098.9707953297</v>
      </c>
      <c r="G199" s="1">
        <f t="shared" si="15"/>
        <v>0.46616119067677647</v>
      </c>
      <c r="H199" s="3">
        <f t="shared" si="16"/>
        <v>4.6616119067677646E-3</v>
      </c>
      <c r="K199">
        <v>2027764.40567436</v>
      </c>
      <c r="L199">
        <v>7158.2746281854897</v>
      </c>
      <c r="M199">
        <v>1037380.12300432</v>
      </c>
      <c r="N199">
        <v>12890946.0063146</v>
      </c>
      <c r="O199">
        <v>15963248.8096215</v>
      </c>
      <c r="P199" s="1">
        <f t="shared" si="17"/>
        <v>5.5498656796890602E-2</v>
      </c>
      <c r="Q199" s="3">
        <f t="shared" si="18"/>
        <v>5.54986567968906E-4</v>
      </c>
      <c r="T199">
        <f t="shared" si="19"/>
        <v>8.3995040165169161</v>
      </c>
    </row>
    <row r="200" spans="1:20" x14ac:dyDescent="0.25">
      <c r="A200" t="s">
        <v>211</v>
      </c>
      <c r="B200">
        <v>2652350.29278989</v>
      </c>
      <c r="C200">
        <v>231237.20354182599</v>
      </c>
      <c r="D200">
        <v>921050.88916853606</v>
      </c>
      <c r="E200">
        <v>3591010.4741700599</v>
      </c>
      <c r="F200">
        <v>7395648.8596703103</v>
      </c>
      <c r="G200" s="1">
        <f t="shared" si="15"/>
        <v>6.0497702671181068</v>
      </c>
      <c r="H200" s="3">
        <f t="shared" si="16"/>
        <v>6.0497702671181069E-2</v>
      </c>
      <c r="K200">
        <v>913815.00907577504</v>
      </c>
      <c r="L200">
        <v>343853.10335045902</v>
      </c>
      <c r="M200">
        <v>507525.86868519703</v>
      </c>
      <c r="N200">
        <v>10379333.709522899</v>
      </c>
      <c r="O200">
        <v>12144527.690634299</v>
      </c>
      <c r="P200" s="1">
        <f t="shared" si="17"/>
        <v>3.2066316604468534</v>
      </c>
      <c r="Q200" s="3">
        <f t="shared" si="18"/>
        <v>3.2066316604468535E-2</v>
      </c>
      <c r="T200">
        <f t="shared" si="19"/>
        <v>1.8866433403439464</v>
      </c>
    </row>
    <row r="201" spans="1:20" x14ac:dyDescent="0.25">
      <c r="A201" t="s">
        <v>212</v>
      </c>
      <c r="B201">
        <v>2238868.88982241</v>
      </c>
      <c r="C201">
        <v>28200.498792344599</v>
      </c>
      <c r="D201">
        <v>435574.77859888301</v>
      </c>
      <c r="E201">
        <v>4032783.0797987701</v>
      </c>
      <c r="F201">
        <v>6735427.2470124103</v>
      </c>
      <c r="G201" s="1">
        <f t="shared" si="15"/>
        <v>0.69442533432081144</v>
      </c>
      <c r="H201" s="3">
        <f t="shared" si="16"/>
        <v>6.9442533432081139E-3</v>
      </c>
      <c r="I201" s="1"/>
      <c r="J201" s="1"/>
      <c r="K201">
        <v>950848.52027337498</v>
      </c>
      <c r="L201">
        <v>2409.9668161617701</v>
      </c>
      <c r="M201">
        <v>115468.26389996</v>
      </c>
      <c r="N201">
        <v>6585935.20764839</v>
      </c>
      <c r="O201">
        <v>7654661.9586378904</v>
      </c>
      <c r="P201" s="1">
        <f t="shared" si="17"/>
        <v>3.6579243381212691E-2</v>
      </c>
      <c r="Q201" s="3">
        <f t="shared" si="18"/>
        <v>3.6579243381212688E-4</v>
      </c>
      <c r="T201">
        <f t="shared" si="19"/>
        <v>18.984136087338324</v>
      </c>
    </row>
    <row r="202" spans="1:20" x14ac:dyDescent="0.25">
      <c r="A202" t="s">
        <v>213</v>
      </c>
      <c r="B202">
        <v>1718033.5181942801</v>
      </c>
      <c r="C202">
        <v>45843.817130525997</v>
      </c>
      <c r="D202">
        <v>455821.71752557298</v>
      </c>
      <c r="E202">
        <v>5875785.07232551</v>
      </c>
      <c r="F202">
        <v>8095484.1251758998</v>
      </c>
      <c r="G202" s="1">
        <f t="shared" si="15"/>
        <v>0.77417578822196742</v>
      </c>
      <c r="H202" s="3">
        <f t="shared" si="16"/>
        <v>7.7417578822196742E-3</v>
      </c>
      <c r="K202">
        <v>1214870.26417405</v>
      </c>
      <c r="L202">
        <v>5706.6387451103901</v>
      </c>
      <c r="M202">
        <v>301424.221226405</v>
      </c>
      <c r="N202">
        <v>9097951.5460956395</v>
      </c>
      <c r="O202">
        <v>10619952.670241199</v>
      </c>
      <c r="P202" s="1">
        <f t="shared" si="17"/>
        <v>6.268511656789777E-2</v>
      </c>
      <c r="Q202" s="3">
        <f t="shared" si="18"/>
        <v>6.2685116567897769E-4</v>
      </c>
      <c r="T202">
        <f t="shared" si="19"/>
        <v>12.350232887952185</v>
      </c>
    </row>
    <row r="203" spans="1:20" x14ac:dyDescent="0.25">
      <c r="A203" t="s">
        <v>218</v>
      </c>
      <c r="B203">
        <v>2019841.6175900199</v>
      </c>
      <c r="C203">
        <v>49437.511159854897</v>
      </c>
      <c r="D203">
        <v>211165.309713486</v>
      </c>
      <c r="E203">
        <v>5949577.7423346397</v>
      </c>
      <c r="F203">
        <v>8230022.1807979997</v>
      </c>
      <c r="G203" s="1">
        <f t="shared" ref="G203:G266" si="20">(C203/(C203+E203))*100</f>
        <v>0.82409377324148303</v>
      </c>
      <c r="H203" s="3">
        <f t="shared" ref="H203:H266" si="21">(C203/(C203+E203))</f>
        <v>8.2409377324148304E-3</v>
      </c>
      <c r="K203">
        <v>5063434.1327563701</v>
      </c>
      <c r="L203">
        <v>8083.8997707274002</v>
      </c>
      <c r="M203">
        <v>418094.92318346701</v>
      </c>
      <c r="N203">
        <v>15311984.828867501</v>
      </c>
      <c r="O203">
        <v>20801597.7845781</v>
      </c>
      <c r="P203" s="1">
        <f t="shared" ref="P203:P266" si="22">(L203/(L203+N203))*100</f>
        <v>5.2766733060511294E-2</v>
      </c>
      <c r="Q203" s="3">
        <f t="shared" ref="Q203:Q266" si="23">(L203/(L203+N203))</f>
        <v>5.2766733060511295E-4</v>
      </c>
      <c r="T203">
        <f t="shared" si="19"/>
        <v>15.617676620162124</v>
      </c>
    </row>
    <row r="204" spans="1:20" x14ac:dyDescent="0.25">
      <c r="A204" t="s">
        <v>219</v>
      </c>
      <c r="B204">
        <v>3910774.0596734998</v>
      </c>
      <c r="C204">
        <v>94528.670443331706</v>
      </c>
      <c r="D204">
        <v>903429.57776048104</v>
      </c>
      <c r="E204">
        <v>4069619.5414056098</v>
      </c>
      <c r="F204">
        <v>8978351.8492829204</v>
      </c>
      <c r="G204" s="1">
        <f t="shared" si="20"/>
        <v>2.2700601811999297</v>
      </c>
      <c r="H204" s="3">
        <f t="shared" si="21"/>
        <v>2.2700601811999295E-2</v>
      </c>
      <c r="I204" s="1"/>
      <c r="J204" s="1"/>
      <c r="K204">
        <v>1028954.79942228</v>
      </c>
      <c r="L204">
        <v>13486.7430119416</v>
      </c>
      <c r="M204">
        <v>463620.60817516502</v>
      </c>
      <c r="N204">
        <v>9104166.1680209097</v>
      </c>
      <c r="O204">
        <v>10610228.3186303</v>
      </c>
      <c r="P204" s="1">
        <f t="shared" si="22"/>
        <v>0.14791902196257015</v>
      </c>
      <c r="Q204" s="3">
        <f t="shared" si="23"/>
        <v>1.4791902196257015E-3</v>
      </c>
      <c r="R204" s="1"/>
      <c r="T204">
        <f t="shared" si="19"/>
        <v>15.34664136553277</v>
      </c>
    </row>
    <row r="205" spans="1:20" x14ac:dyDescent="0.25">
      <c r="A205" t="s">
        <v>220</v>
      </c>
      <c r="B205">
        <v>1845886.1589267901</v>
      </c>
      <c r="C205">
        <v>73575.597718877994</v>
      </c>
      <c r="D205">
        <v>504773.47137195402</v>
      </c>
      <c r="E205">
        <v>6914660.6924955798</v>
      </c>
      <c r="F205">
        <v>9338895.9205132108</v>
      </c>
      <c r="G205" s="1">
        <f t="shared" si="20"/>
        <v>1.0528493122349771</v>
      </c>
      <c r="H205" s="3">
        <f t="shared" si="21"/>
        <v>1.0528493122349771E-2</v>
      </c>
      <c r="K205">
        <v>1236117.6579197501</v>
      </c>
      <c r="L205">
        <v>16365.653993931801</v>
      </c>
      <c r="M205">
        <v>419479.66211299901</v>
      </c>
      <c r="N205">
        <v>14857642.7319605</v>
      </c>
      <c r="O205">
        <v>16529605.7059872</v>
      </c>
      <c r="P205" s="1">
        <f t="shared" si="22"/>
        <v>0.11002853816719596</v>
      </c>
      <c r="Q205" s="3">
        <f t="shared" si="23"/>
        <v>1.1002853816719596E-3</v>
      </c>
      <c r="T205">
        <f t="shared" si="19"/>
        <v>9.5688748553134459</v>
      </c>
    </row>
    <row r="206" spans="1:20" x14ac:dyDescent="0.25">
      <c r="A206" t="s">
        <v>221</v>
      </c>
      <c r="B206">
        <v>4248918.7946181903</v>
      </c>
      <c r="C206">
        <v>119456.614413492</v>
      </c>
      <c r="D206">
        <v>1058400.0344104499</v>
      </c>
      <c r="E206">
        <v>5662411.39556449</v>
      </c>
      <c r="F206">
        <v>11089186.839006601</v>
      </c>
      <c r="G206" s="1">
        <f t="shared" si="20"/>
        <v>2.0660557143010063</v>
      </c>
      <c r="H206" s="3">
        <f t="shared" si="21"/>
        <v>2.0660557143010065E-2</v>
      </c>
      <c r="K206">
        <v>1064629.0466200099</v>
      </c>
      <c r="L206">
        <v>45663.2267905068</v>
      </c>
      <c r="M206">
        <v>121684.38516082701</v>
      </c>
      <c r="N206">
        <v>12014925.190413401</v>
      </c>
      <c r="O206">
        <v>13246901.8489848</v>
      </c>
      <c r="P206" s="1">
        <f t="shared" si="22"/>
        <v>0.37861524836856369</v>
      </c>
      <c r="Q206" s="3">
        <f t="shared" si="23"/>
        <v>3.7861524836856372E-3</v>
      </c>
      <c r="T206">
        <f t="shared" si="19"/>
        <v>5.4568740250255336</v>
      </c>
    </row>
    <row r="207" spans="1:20" x14ac:dyDescent="0.25">
      <c r="A207" t="s">
        <v>222</v>
      </c>
      <c r="B207">
        <v>1954887.63231278</v>
      </c>
      <c r="C207">
        <v>51914.462874401703</v>
      </c>
      <c r="D207">
        <v>158606.40341051799</v>
      </c>
      <c r="E207">
        <v>3734790.0358471498</v>
      </c>
      <c r="F207">
        <v>5900198.5344448499</v>
      </c>
      <c r="G207" s="1">
        <f t="shared" si="20"/>
        <v>1.3709668365178431</v>
      </c>
      <c r="H207" s="3">
        <f t="shared" si="21"/>
        <v>1.370966836517843E-2</v>
      </c>
      <c r="I207" s="1"/>
      <c r="J207" s="1"/>
      <c r="K207">
        <v>880537.99298726104</v>
      </c>
      <c r="L207">
        <v>5583.9113183187401</v>
      </c>
      <c r="M207">
        <v>228968.30182794901</v>
      </c>
      <c r="N207">
        <v>10249730.1980925</v>
      </c>
      <c r="O207">
        <v>11364820.4042261</v>
      </c>
      <c r="P207" s="1">
        <f t="shared" si="22"/>
        <v>5.4448954549277506E-2</v>
      </c>
      <c r="Q207" s="3">
        <f t="shared" si="23"/>
        <v>5.4448954549277508E-4</v>
      </c>
      <c r="T207">
        <f t="shared" si="19"/>
        <v>25.178937738411264</v>
      </c>
    </row>
    <row r="208" spans="1:20" x14ac:dyDescent="0.25">
      <c r="A208" t="s">
        <v>223</v>
      </c>
      <c r="B208">
        <v>2635869.6267814301</v>
      </c>
      <c r="C208">
        <v>109295.81415472399</v>
      </c>
      <c r="D208">
        <v>225500.812675761</v>
      </c>
      <c r="E208">
        <v>4833426.3307237402</v>
      </c>
      <c r="F208">
        <v>7804092.5843356699</v>
      </c>
      <c r="G208" s="1">
        <f t="shared" si="20"/>
        <v>2.2112473845606275</v>
      </c>
      <c r="H208" s="3">
        <f t="shared" si="21"/>
        <v>2.2112473845606277E-2</v>
      </c>
      <c r="K208">
        <v>2431939.3654377698</v>
      </c>
      <c r="L208">
        <v>24538.0508762096</v>
      </c>
      <c r="M208">
        <v>353051.06119352201</v>
      </c>
      <c r="N208">
        <v>16417382.087950399</v>
      </c>
      <c r="O208">
        <v>19226910.565457899</v>
      </c>
      <c r="P208" s="1">
        <f t="shared" si="22"/>
        <v>0.14924078616745293</v>
      </c>
      <c r="Q208" s="3">
        <f t="shared" si="23"/>
        <v>1.4924078616745293E-3</v>
      </c>
      <c r="T208">
        <f t="shared" si="19"/>
        <v>14.816642563645688</v>
      </c>
    </row>
    <row r="209" spans="1:20" x14ac:dyDescent="0.25">
      <c r="A209" t="s">
        <v>224</v>
      </c>
      <c r="B209">
        <v>4096089.3401466599</v>
      </c>
      <c r="C209">
        <v>46695.4498169</v>
      </c>
      <c r="D209">
        <v>622850.15200987097</v>
      </c>
      <c r="E209">
        <v>5860509.7447857698</v>
      </c>
      <c r="F209">
        <v>10626144.6867592</v>
      </c>
      <c r="G209" s="1">
        <f t="shared" si="20"/>
        <v>0.79048294884973647</v>
      </c>
      <c r="H209" s="3">
        <f t="shared" si="21"/>
        <v>7.9048294884973645E-3</v>
      </c>
      <c r="K209">
        <v>2201720.46192626</v>
      </c>
      <c r="L209">
        <v>15887.0451109524</v>
      </c>
      <c r="M209">
        <v>246254.665364193</v>
      </c>
      <c r="N209">
        <v>9888329.3703999091</v>
      </c>
      <c r="O209">
        <v>12352191.5428013</v>
      </c>
      <c r="P209" s="1">
        <f t="shared" si="22"/>
        <v>0.16040688575899767</v>
      </c>
      <c r="Q209" s="3">
        <f t="shared" si="23"/>
        <v>1.6040688575899766E-3</v>
      </c>
      <c r="T209">
        <f t="shared" si="19"/>
        <v>4.9279863835608193</v>
      </c>
    </row>
    <row r="210" spans="1:20" x14ac:dyDescent="0.25">
      <c r="A210" t="s">
        <v>225</v>
      </c>
      <c r="B210">
        <v>4456678.2451818297</v>
      </c>
      <c r="C210">
        <v>85832.310961674695</v>
      </c>
      <c r="D210">
        <v>747088.87557401601</v>
      </c>
      <c r="E210">
        <v>7997926.4273321601</v>
      </c>
      <c r="F210">
        <v>13287525.8590496</v>
      </c>
      <c r="G210" s="1">
        <f t="shared" si="20"/>
        <v>1.0617871430906971</v>
      </c>
      <c r="H210" s="3">
        <f t="shared" si="21"/>
        <v>1.0617871430906971E-2</v>
      </c>
      <c r="I210" s="1"/>
      <c r="J210" s="1"/>
      <c r="K210">
        <v>3261936.3517608601</v>
      </c>
      <c r="L210">
        <v>29292.6250525861</v>
      </c>
      <c r="M210">
        <v>665803.20759686595</v>
      </c>
      <c r="N210">
        <v>21072829.007019199</v>
      </c>
      <c r="O210">
        <v>25029861.1914295</v>
      </c>
      <c r="P210" s="1">
        <f t="shared" si="22"/>
        <v>0.13881364899378687</v>
      </c>
      <c r="Q210" s="3">
        <f t="shared" si="23"/>
        <v>1.3881364899378688E-3</v>
      </c>
      <c r="T210">
        <f t="shared" si="19"/>
        <v>7.6490111079654808</v>
      </c>
    </row>
    <row r="211" spans="1:20" x14ac:dyDescent="0.25">
      <c r="A211" t="s">
        <v>226</v>
      </c>
      <c r="B211">
        <v>501527.62960579101</v>
      </c>
      <c r="C211">
        <v>32477.4251063743</v>
      </c>
      <c r="D211">
        <v>49615.622766015797</v>
      </c>
      <c r="E211">
        <v>1778826.8482627501</v>
      </c>
      <c r="F211">
        <v>2362447.5257409401</v>
      </c>
      <c r="G211" s="1">
        <f t="shared" si="20"/>
        <v>1.7930408260984514</v>
      </c>
      <c r="H211" s="3">
        <f t="shared" si="21"/>
        <v>1.7930408260984514E-2</v>
      </c>
      <c r="I211" s="13" t="s">
        <v>318</v>
      </c>
      <c r="K211">
        <v>1853239.35011474</v>
      </c>
      <c r="L211">
        <v>20883.116745662799</v>
      </c>
      <c r="M211">
        <v>132643.989385158</v>
      </c>
      <c r="N211">
        <v>15840408.8869323</v>
      </c>
      <c r="O211">
        <v>17847175.3431779</v>
      </c>
      <c r="P211" s="1">
        <f t="shared" si="22"/>
        <v>0.13166088072031182</v>
      </c>
      <c r="Q211" s="3">
        <f t="shared" si="23"/>
        <v>1.3166088072031183E-3</v>
      </c>
      <c r="T211">
        <f t="shared" si="19"/>
        <v>13.618630046288549</v>
      </c>
    </row>
    <row r="212" spans="1:20" x14ac:dyDescent="0.25">
      <c r="A212" t="s">
        <v>227</v>
      </c>
      <c r="B212">
        <v>1447060.5111366</v>
      </c>
      <c r="C212">
        <v>36531.779015071203</v>
      </c>
      <c r="D212">
        <v>180092.25670265901</v>
      </c>
      <c r="E212">
        <v>4932670.8167365603</v>
      </c>
      <c r="F212">
        <v>6596355.3635908896</v>
      </c>
      <c r="G212" s="1">
        <f t="shared" si="20"/>
        <v>0.73516380769630274</v>
      </c>
      <c r="H212" s="3">
        <f t="shared" si="21"/>
        <v>7.3516380769630268E-3</v>
      </c>
      <c r="K212">
        <v>1316702.49084269</v>
      </c>
      <c r="L212">
        <v>18347.881031509602</v>
      </c>
      <c r="M212">
        <v>395433.58057866403</v>
      </c>
      <c r="N212">
        <v>17598326.6662319</v>
      </c>
      <c r="O212">
        <v>19328810.618684798</v>
      </c>
      <c r="P212" s="1">
        <f t="shared" si="22"/>
        <v>0.1041506498986767</v>
      </c>
      <c r="Q212" s="3">
        <f t="shared" si="23"/>
        <v>1.041506498986767E-3</v>
      </c>
      <c r="T212">
        <f t="shared" si="19"/>
        <v>7.05865789998919</v>
      </c>
    </row>
    <row r="213" spans="1:20" x14ac:dyDescent="0.25">
      <c r="A213" t="s">
        <v>228</v>
      </c>
      <c r="B213">
        <v>1578096.2727058399</v>
      </c>
      <c r="C213">
        <v>845915.63335381704</v>
      </c>
      <c r="D213">
        <v>513266.92208363698</v>
      </c>
      <c r="E213">
        <v>4237963.1663268702</v>
      </c>
      <c r="F213">
        <v>7175241.9944701698</v>
      </c>
      <c r="G213" s="1">
        <f t="shared" si="20"/>
        <v>16.639177814525162</v>
      </c>
      <c r="H213" s="3">
        <f t="shared" si="21"/>
        <v>0.16639177814525161</v>
      </c>
      <c r="K213">
        <v>1521970.34346244</v>
      </c>
      <c r="L213">
        <v>50009.969113963802</v>
      </c>
      <c r="M213">
        <v>131347.98742319201</v>
      </c>
      <c r="N213">
        <v>15229812.078159099</v>
      </c>
      <c r="O213">
        <v>16933140.3781587</v>
      </c>
      <c r="P213" s="1">
        <f t="shared" si="22"/>
        <v>0.32729418549013078</v>
      </c>
      <c r="Q213" s="3">
        <f t="shared" si="23"/>
        <v>3.2729418549013079E-3</v>
      </c>
      <c r="T213">
        <f t="shared" si="19"/>
        <v>50.838598888054179</v>
      </c>
    </row>
    <row r="214" spans="1:20" x14ac:dyDescent="0.25">
      <c r="A214" t="s">
        <v>229</v>
      </c>
      <c r="B214">
        <v>643006.42236010998</v>
      </c>
      <c r="C214">
        <v>9620.4802958567707</v>
      </c>
      <c r="D214">
        <v>79479.500787651996</v>
      </c>
      <c r="E214">
        <v>1802260.93623266</v>
      </c>
      <c r="F214">
        <v>2534367.33967628</v>
      </c>
      <c r="G214" s="1">
        <f t="shared" si="20"/>
        <v>0.53096633190759135</v>
      </c>
      <c r="H214" s="3">
        <f t="shared" si="21"/>
        <v>5.3096633190759133E-3</v>
      </c>
      <c r="K214">
        <v>1233416.0269410999</v>
      </c>
      <c r="L214">
        <v>14995.559249034301</v>
      </c>
      <c r="M214">
        <v>170776.88702964599</v>
      </c>
      <c r="N214">
        <v>14824193.2290572</v>
      </c>
      <c r="O214">
        <v>16243381.702276999</v>
      </c>
      <c r="P214" s="1">
        <f t="shared" si="22"/>
        <v>0.10105376690706497</v>
      </c>
      <c r="Q214" s="3">
        <f t="shared" si="23"/>
        <v>1.0105376690706497E-3</v>
      </c>
      <c r="T214">
        <f t="shared" si="19"/>
        <v>5.2542952940675569</v>
      </c>
    </row>
    <row r="215" spans="1:20" x14ac:dyDescent="0.25">
      <c r="A215" t="s">
        <v>230</v>
      </c>
      <c r="B215">
        <v>2104576.0715310099</v>
      </c>
      <c r="C215">
        <v>30957.704393485299</v>
      </c>
      <c r="D215">
        <v>1011514.99234857</v>
      </c>
      <c r="E215">
        <v>1803671.94642883</v>
      </c>
      <c r="F215">
        <v>4950720.7147019096</v>
      </c>
      <c r="G215" s="1">
        <f t="shared" si="20"/>
        <v>1.6874089209018002</v>
      </c>
      <c r="H215" s="3">
        <f t="shared" si="21"/>
        <v>1.6874089209018003E-2</v>
      </c>
      <c r="K215">
        <v>1887725.16274037</v>
      </c>
      <c r="L215">
        <v>64496.634630027802</v>
      </c>
      <c r="M215">
        <v>155438.38353261899</v>
      </c>
      <c r="N215">
        <v>13710003.112652</v>
      </c>
      <c r="O215">
        <v>15817663.293555001</v>
      </c>
      <c r="P215" s="1">
        <f t="shared" si="22"/>
        <v>0.46823213774245576</v>
      </c>
      <c r="Q215" s="3">
        <f t="shared" si="23"/>
        <v>4.6823213774245575E-3</v>
      </c>
      <c r="T215">
        <f t="shared" si="19"/>
        <v>3.603787063907038</v>
      </c>
    </row>
    <row r="216" spans="1:20" x14ac:dyDescent="0.25">
      <c r="A216" t="s">
        <v>231</v>
      </c>
      <c r="B216">
        <v>1235855.55275237</v>
      </c>
      <c r="C216">
        <v>138132.470509987</v>
      </c>
      <c r="D216">
        <v>143294.870809563</v>
      </c>
      <c r="E216">
        <v>5178504.5591455102</v>
      </c>
      <c r="F216">
        <v>6695787.4532174403</v>
      </c>
      <c r="G216" s="1">
        <f t="shared" si="20"/>
        <v>2.5981173764449661</v>
      </c>
      <c r="H216" s="3">
        <f t="shared" si="21"/>
        <v>2.5981173764449663E-2</v>
      </c>
      <c r="K216">
        <v>1198451.8368877</v>
      </c>
      <c r="L216">
        <v>17397.896350781699</v>
      </c>
      <c r="M216">
        <v>273429.87224369001</v>
      </c>
      <c r="N216">
        <v>8487595.8630789891</v>
      </c>
      <c r="O216">
        <v>9976875.4685611706</v>
      </c>
      <c r="P216" s="1">
        <f t="shared" si="22"/>
        <v>0.20456095375134248</v>
      </c>
      <c r="Q216" s="3">
        <f t="shared" si="23"/>
        <v>2.0456095375134247E-3</v>
      </c>
      <c r="T216">
        <f t="shared" si="19"/>
        <v>12.700944773669523</v>
      </c>
    </row>
    <row r="217" spans="1:20" x14ac:dyDescent="0.25">
      <c r="A217" t="s">
        <v>232</v>
      </c>
      <c r="B217">
        <v>2550012.7839686298</v>
      </c>
      <c r="C217">
        <v>37717.205891534402</v>
      </c>
      <c r="D217">
        <v>202083.6170351</v>
      </c>
      <c r="E217">
        <v>4895574.5284590097</v>
      </c>
      <c r="F217">
        <v>7685388.1353542898</v>
      </c>
      <c r="G217" s="1">
        <f t="shared" si="20"/>
        <v>0.76454440407221891</v>
      </c>
      <c r="H217" s="3">
        <f t="shared" si="21"/>
        <v>7.645444040722189E-3</v>
      </c>
      <c r="K217">
        <v>1010456.95511813</v>
      </c>
      <c r="L217">
        <v>17270.401383718301</v>
      </c>
      <c r="M217">
        <v>65497.068013185701</v>
      </c>
      <c r="N217">
        <v>11154899.779321101</v>
      </c>
      <c r="O217">
        <v>12248124.2038361</v>
      </c>
      <c r="P217" s="1">
        <f t="shared" si="22"/>
        <v>0.15458412380385672</v>
      </c>
      <c r="Q217" s="3">
        <f t="shared" si="23"/>
        <v>1.5458412380385672E-3</v>
      </c>
      <c r="T217">
        <f t="shared" si="19"/>
        <v>4.945814520010523</v>
      </c>
    </row>
    <row r="218" spans="1:20" x14ac:dyDescent="0.25">
      <c r="A218" t="s">
        <v>233</v>
      </c>
      <c r="B218">
        <v>1920969.50700734</v>
      </c>
      <c r="C218">
        <v>38802.532350072303</v>
      </c>
      <c r="D218">
        <v>710429.86054340797</v>
      </c>
      <c r="E218">
        <v>2532523.6058814698</v>
      </c>
      <c r="F218">
        <v>5202725.5057822904</v>
      </c>
      <c r="G218" s="1">
        <f t="shared" si="20"/>
        <v>1.5090474822753979</v>
      </c>
      <c r="H218" s="3">
        <f t="shared" si="21"/>
        <v>1.5090474822753979E-2</v>
      </c>
      <c r="K218">
        <v>2325282.8081026701</v>
      </c>
      <c r="L218">
        <v>233008.33217467801</v>
      </c>
      <c r="M218">
        <v>1045730.91918516</v>
      </c>
      <c r="N218">
        <v>17571166.309903499</v>
      </c>
      <c r="O218">
        <v>21175188.369366001</v>
      </c>
      <c r="P218" s="1">
        <f t="shared" si="22"/>
        <v>1.3087286372938001</v>
      </c>
      <c r="Q218" s="3">
        <f t="shared" si="23"/>
        <v>1.3087286372938E-2</v>
      </c>
      <c r="T218">
        <f t="shared" si="19"/>
        <v>1.1530636980602937</v>
      </c>
    </row>
    <row r="219" spans="1:20" x14ac:dyDescent="0.25">
      <c r="A219" t="s">
        <v>234</v>
      </c>
      <c r="B219">
        <v>2673744.2175760102</v>
      </c>
      <c r="C219">
        <v>188888.62437555601</v>
      </c>
      <c r="D219">
        <v>1318916.3805946701</v>
      </c>
      <c r="E219">
        <v>8442661.4404018503</v>
      </c>
      <c r="F219">
        <v>12624210.6629481</v>
      </c>
      <c r="G219" s="1">
        <f t="shared" si="20"/>
        <v>2.1883511415446693</v>
      </c>
      <c r="H219" s="3">
        <f t="shared" si="21"/>
        <v>2.1883511415446692E-2</v>
      </c>
      <c r="K219">
        <v>3397299.8145372402</v>
      </c>
      <c r="L219">
        <v>44918.473336572497</v>
      </c>
      <c r="M219">
        <v>808865.34846616397</v>
      </c>
      <c r="N219">
        <v>21597359.285601899</v>
      </c>
      <c r="O219">
        <v>25848442.921941798</v>
      </c>
      <c r="P219" s="1">
        <f t="shared" si="22"/>
        <v>0.20754965737384426</v>
      </c>
      <c r="Q219" s="3">
        <f t="shared" si="23"/>
        <v>2.0754965737384426E-3</v>
      </c>
      <c r="T219">
        <f t="shared" si="19"/>
        <v>10.543747309603839</v>
      </c>
    </row>
    <row r="220" spans="1:20" x14ac:dyDescent="0.25">
      <c r="A220" t="s">
        <v>235</v>
      </c>
      <c r="B220">
        <v>2669127.1396090998</v>
      </c>
      <c r="C220">
        <v>4959530.2596415402</v>
      </c>
      <c r="D220">
        <v>219645.184849371</v>
      </c>
      <c r="E220">
        <v>3299033.7008514702</v>
      </c>
      <c r="F220">
        <v>11147336.2849514</v>
      </c>
      <c r="G220" s="1">
        <f t="shared" si="20"/>
        <v>60.053179746100462</v>
      </c>
      <c r="H220" s="3">
        <f t="shared" si="21"/>
        <v>0.6005317974610046</v>
      </c>
      <c r="K220">
        <v>750937.22636067797</v>
      </c>
      <c r="L220">
        <v>70635.030576981502</v>
      </c>
      <c r="M220">
        <v>162753.313961951</v>
      </c>
      <c r="N220">
        <v>6335375.5407815799</v>
      </c>
      <c r="O220">
        <v>7319701.1116811903</v>
      </c>
      <c r="P220" s="1">
        <f t="shared" si="22"/>
        <v>1.1026368094488097</v>
      </c>
      <c r="Q220" s="3">
        <f t="shared" si="23"/>
        <v>1.1026368094488096E-2</v>
      </c>
      <c r="T220">
        <f t="shared" si="19"/>
        <v>54.463245949606993</v>
      </c>
    </row>
    <row r="221" spans="1:20" x14ac:dyDescent="0.25">
      <c r="A221" t="s">
        <v>236</v>
      </c>
      <c r="B221">
        <v>5091864.6436310802</v>
      </c>
      <c r="C221">
        <v>65551.626473891607</v>
      </c>
      <c r="D221">
        <v>1382881.07682117</v>
      </c>
      <c r="E221">
        <v>4772874.0989999799</v>
      </c>
      <c r="F221">
        <v>11313171.4459261</v>
      </c>
      <c r="G221" s="1">
        <f t="shared" si="20"/>
        <v>1.3548131188367376</v>
      </c>
      <c r="H221" s="3">
        <f t="shared" si="21"/>
        <v>1.3548131188367377E-2</v>
      </c>
      <c r="K221">
        <v>2275445.3163892902</v>
      </c>
      <c r="L221">
        <v>13577.7356247481</v>
      </c>
      <c r="M221">
        <v>431941.56272682501</v>
      </c>
      <c r="N221">
        <v>12294202.3220379</v>
      </c>
      <c r="O221">
        <v>15015166.936778801</v>
      </c>
      <c r="P221" s="1">
        <f t="shared" si="22"/>
        <v>0.11031831541622973</v>
      </c>
      <c r="Q221" s="3">
        <f t="shared" si="23"/>
        <v>1.1031831541622973E-3</v>
      </c>
      <c r="T221">
        <f t="shared" si="19"/>
        <v>12.280944589527527</v>
      </c>
    </row>
    <row r="222" spans="1:20" x14ac:dyDescent="0.25">
      <c r="A222" t="s">
        <v>237</v>
      </c>
      <c r="B222">
        <v>3767296.0312083401</v>
      </c>
      <c r="C222">
        <v>14706.3394829218</v>
      </c>
      <c r="D222">
        <v>1107984.8726363</v>
      </c>
      <c r="E222">
        <v>6389716.8346060002</v>
      </c>
      <c r="F222">
        <v>11279704.0779335</v>
      </c>
      <c r="G222" s="1">
        <f t="shared" si="20"/>
        <v>0.22962785379986836</v>
      </c>
      <c r="H222" s="3">
        <f t="shared" si="21"/>
        <v>2.2962785379986835E-3</v>
      </c>
      <c r="K222">
        <v>1104266.6843850999</v>
      </c>
      <c r="L222">
        <v>11101.1180750328</v>
      </c>
      <c r="M222">
        <v>278404.96328299702</v>
      </c>
      <c r="N222">
        <v>11149346.414244</v>
      </c>
      <c r="O222">
        <v>12543119.1799872</v>
      </c>
      <c r="P222" s="1">
        <f t="shared" si="22"/>
        <v>9.9468395356777373E-2</v>
      </c>
      <c r="Q222" s="3">
        <f t="shared" si="23"/>
        <v>9.9468395356777368E-4</v>
      </c>
      <c r="T222">
        <f t="shared" si="19"/>
        <v>2.3085509017837236</v>
      </c>
    </row>
    <row r="223" spans="1:20" x14ac:dyDescent="0.25">
      <c r="A223" t="s">
        <v>238</v>
      </c>
      <c r="B223">
        <v>417809.49215746298</v>
      </c>
      <c r="C223">
        <v>40223.465159820596</v>
      </c>
      <c r="D223">
        <v>25252.328839992399</v>
      </c>
      <c r="E223">
        <v>2393434.65242843</v>
      </c>
      <c r="F223">
        <v>2876719.9385857</v>
      </c>
      <c r="G223" s="1">
        <f t="shared" si="20"/>
        <v>1.6527985122118121</v>
      </c>
      <c r="H223" s="3">
        <f t="shared" si="21"/>
        <v>1.652798512211812E-2</v>
      </c>
      <c r="I223" s="13" t="s">
        <v>318</v>
      </c>
      <c r="K223">
        <v>1852488.93057412</v>
      </c>
      <c r="L223">
        <v>50429.346487138799</v>
      </c>
      <c r="M223">
        <v>455189.35243900999</v>
      </c>
      <c r="N223">
        <v>12778769.1906358</v>
      </c>
      <c r="O223">
        <v>15136876.820135999</v>
      </c>
      <c r="P223" s="1">
        <f t="shared" si="22"/>
        <v>0.39308259468598128</v>
      </c>
      <c r="Q223" s="3">
        <f t="shared" si="23"/>
        <v>3.9308259468598125E-3</v>
      </c>
      <c r="T223">
        <f t="shared" si="19"/>
        <v>4.2047104973756717</v>
      </c>
    </row>
    <row r="224" spans="1:20" x14ac:dyDescent="0.25">
      <c r="A224" t="s">
        <v>239</v>
      </c>
      <c r="B224">
        <v>1836099.69483024</v>
      </c>
      <c r="C224">
        <v>34581.097340272398</v>
      </c>
      <c r="D224">
        <v>405118.36311218998</v>
      </c>
      <c r="E224">
        <v>4023848.1780134202</v>
      </c>
      <c r="F224">
        <v>6299647.3332961304</v>
      </c>
      <c r="G224" s="1">
        <f t="shared" si="20"/>
        <v>0.85208081733193808</v>
      </c>
      <c r="H224" s="3">
        <f t="shared" si="21"/>
        <v>8.5208081733193809E-3</v>
      </c>
      <c r="K224">
        <v>1224331.6712096401</v>
      </c>
      <c r="L224">
        <v>10210.7100439892</v>
      </c>
      <c r="M224">
        <v>289558.53679349902</v>
      </c>
      <c r="N224">
        <v>8678320.0603532195</v>
      </c>
      <c r="O224">
        <v>10202420.978400299</v>
      </c>
      <c r="P224" s="1">
        <f t="shared" si="22"/>
        <v>0.11751940936640548</v>
      </c>
      <c r="Q224" s="3">
        <f t="shared" si="23"/>
        <v>1.1751940936640549E-3</v>
      </c>
      <c r="T224">
        <f t="shared" si="19"/>
        <v>7.2505539461596111</v>
      </c>
    </row>
    <row r="225" spans="1:21" x14ac:dyDescent="0.25">
      <c r="A225" t="s">
        <v>240</v>
      </c>
      <c r="B225">
        <v>1887750.1772934599</v>
      </c>
      <c r="C225">
        <v>56249.025127198896</v>
      </c>
      <c r="D225">
        <v>453316.829729733</v>
      </c>
      <c r="E225">
        <v>8323645.8795133103</v>
      </c>
      <c r="F225">
        <v>10720961.9116637</v>
      </c>
      <c r="G225" s="1">
        <f t="shared" si="20"/>
        <v>0.67123783492857469</v>
      </c>
      <c r="H225" s="3">
        <f t="shared" si="21"/>
        <v>6.7123783492857468E-3</v>
      </c>
      <c r="K225">
        <v>1700857.9416261599</v>
      </c>
      <c r="L225">
        <v>39235.963474931501</v>
      </c>
      <c r="M225">
        <v>398043.20718048402</v>
      </c>
      <c r="N225">
        <v>18618246.327085201</v>
      </c>
      <c r="O225">
        <v>20756383.439366799</v>
      </c>
      <c r="P225" s="1">
        <f t="shared" si="22"/>
        <v>0.2102961314066645</v>
      </c>
      <c r="Q225" s="3">
        <f t="shared" si="23"/>
        <v>2.1029613140666451E-3</v>
      </c>
      <c r="T225">
        <f t="shared" si="19"/>
        <v>3.1918696289783601</v>
      </c>
    </row>
    <row r="226" spans="1:21" x14ac:dyDescent="0.25">
      <c r="A226" t="s">
        <v>241</v>
      </c>
      <c r="B226">
        <v>1081321.5571459201</v>
      </c>
      <c r="C226">
        <v>35291.790398908</v>
      </c>
      <c r="D226">
        <v>155332.95149141399</v>
      </c>
      <c r="E226">
        <v>3397478.0076604402</v>
      </c>
      <c r="F226">
        <v>4669424.3066966897</v>
      </c>
      <c r="G226" s="1">
        <f t="shared" si="20"/>
        <v>1.0280849714670512</v>
      </c>
      <c r="H226" s="3">
        <f t="shared" si="21"/>
        <v>1.0280849714670512E-2</v>
      </c>
      <c r="K226">
        <v>1120886.64962452</v>
      </c>
      <c r="L226">
        <v>16094.727844204999</v>
      </c>
      <c r="M226">
        <v>223049.8486883</v>
      </c>
      <c r="N226">
        <v>15825147.8336449</v>
      </c>
      <c r="O226">
        <v>17185179.059801999</v>
      </c>
      <c r="P226" s="1">
        <f t="shared" si="22"/>
        <v>0.1016001603518914</v>
      </c>
      <c r="Q226" s="3">
        <f t="shared" si="23"/>
        <v>1.016001603518914E-3</v>
      </c>
      <c r="T226">
        <f t="shared" si="19"/>
        <v>10.118930599186916</v>
      </c>
    </row>
    <row r="227" spans="1:21" x14ac:dyDescent="0.25">
      <c r="A227" t="s">
        <v>242</v>
      </c>
      <c r="B227">
        <v>665358.31068486394</v>
      </c>
      <c r="C227">
        <v>26023.5549723738</v>
      </c>
      <c r="D227">
        <v>136023.60590535699</v>
      </c>
      <c r="E227">
        <v>2853773.59991368</v>
      </c>
      <c r="F227">
        <v>3681179.07147627</v>
      </c>
      <c r="G227" s="1">
        <f t="shared" si="20"/>
        <v>0.90365930559451102</v>
      </c>
      <c r="H227" s="3">
        <f t="shared" si="21"/>
        <v>9.0365930559451104E-3</v>
      </c>
      <c r="K227">
        <v>2425099.1815888798</v>
      </c>
      <c r="L227">
        <v>13111.382205554601</v>
      </c>
      <c r="M227">
        <v>936030.49149162404</v>
      </c>
      <c r="N227">
        <v>13981337.1126628</v>
      </c>
      <c r="O227">
        <v>17355578.167948801</v>
      </c>
      <c r="P227" s="1">
        <f t="shared" si="22"/>
        <v>9.3689881458082699E-2</v>
      </c>
      <c r="Q227" s="3">
        <f t="shared" si="23"/>
        <v>9.3689881458082697E-4</v>
      </c>
      <c r="T227">
        <f t="shared" si="19"/>
        <v>9.6452177282219385</v>
      </c>
    </row>
    <row r="228" spans="1:21" x14ac:dyDescent="0.25">
      <c r="A228" t="s">
        <v>243</v>
      </c>
      <c r="B228">
        <v>1013335.23322024</v>
      </c>
      <c r="C228">
        <v>21040.014162477499</v>
      </c>
      <c r="D228">
        <v>153475.12668936799</v>
      </c>
      <c r="E228">
        <v>5186979.9570276896</v>
      </c>
      <c r="F228">
        <v>6374830.3310997803</v>
      </c>
      <c r="G228" s="1">
        <f t="shared" si="20"/>
        <v>0.40399257834776148</v>
      </c>
      <c r="H228" s="3">
        <f t="shared" si="21"/>
        <v>4.039925783477615E-3</v>
      </c>
      <c r="I228" s="1"/>
      <c r="J228" s="1"/>
      <c r="K228">
        <v>1829837.4351546401</v>
      </c>
      <c r="L228">
        <v>10854.660040176601</v>
      </c>
      <c r="M228">
        <v>399399.49983551301</v>
      </c>
      <c r="N228">
        <v>15600823.701405199</v>
      </c>
      <c r="O228">
        <v>17840915.296435598</v>
      </c>
      <c r="P228" s="1">
        <f t="shared" si="22"/>
        <v>6.9529103718811464E-2</v>
      </c>
      <c r="Q228" s="3">
        <f t="shared" si="23"/>
        <v>6.9529103718811457E-4</v>
      </c>
      <c r="T228">
        <f t="shared" si="19"/>
        <v>5.810409695220323</v>
      </c>
    </row>
    <row r="229" spans="1:21" x14ac:dyDescent="0.25">
      <c r="A229" t="s">
        <v>244</v>
      </c>
      <c r="B229">
        <v>2807833.3420345499</v>
      </c>
      <c r="C229">
        <v>313159.32263553498</v>
      </c>
      <c r="D229">
        <v>872619.24024756404</v>
      </c>
      <c r="E229">
        <v>5913953.39558117</v>
      </c>
      <c r="F229">
        <v>9907565.3004988208</v>
      </c>
      <c r="G229" s="1">
        <f t="shared" si="20"/>
        <v>5.0289650566212369</v>
      </c>
      <c r="H229" s="3">
        <f t="shared" si="21"/>
        <v>5.0289650566212367E-2</v>
      </c>
      <c r="K229">
        <v>2565123.3578454498</v>
      </c>
      <c r="L229">
        <v>65567.516810933404</v>
      </c>
      <c r="M229">
        <v>745371.20071219304</v>
      </c>
      <c r="N229">
        <v>22266876.4147682</v>
      </c>
      <c r="O229">
        <v>25642938.490136798</v>
      </c>
      <c r="P229" s="1">
        <f t="shared" si="22"/>
        <v>0.29359758838672301</v>
      </c>
      <c r="Q229" s="3">
        <f t="shared" si="23"/>
        <v>2.9359758838672298E-3</v>
      </c>
      <c r="T229">
        <f t="shared" si="19"/>
        <v>17.128768271751429</v>
      </c>
    </row>
    <row r="230" spans="1:21" x14ac:dyDescent="0.25">
      <c r="A230" t="s">
        <v>245</v>
      </c>
      <c r="B230">
        <v>6363549.2980226604</v>
      </c>
      <c r="C230">
        <v>62619.294470629597</v>
      </c>
      <c r="D230">
        <v>1780167.02096052</v>
      </c>
      <c r="E230">
        <v>10165223.5014151</v>
      </c>
      <c r="F230">
        <v>18371559.114868902</v>
      </c>
      <c r="G230" s="1">
        <f t="shared" si="20"/>
        <v>0.612243419461032</v>
      </c>
      <c r="H230" s="3">
        <f t="shared" si="21"/>
        <v>6.1224341946103196E-3</v>
      </c>
      <c r="K230">
        <v>1550945.9784379599</v>
      </c>
      <c r="L230">
        <v>7798.4107098105096</v>
      </c>
      <c r="M230">
        <v>97138.801565862494</v>
      </c>
      <c r="N230">
        <v>8434944.4442944806</v>
      </c>
      <c r="O230">
        <v>10090827.6350081</v>
      </c>
      <c r="P230" s="1">
        <f t="shared" si="22"/>
        <v>9.2368213076490124E-2</v>
      </c>
      <c r="Q230" s="3">
        <f t="shared" si="23"/>
        <v>9.2368213076490118E-4</v>
      </c>
      <c r="T230">
        <f t="shared" si="19"/>
        <v>6.6282912602632376</v>
      </c>
    </row>
    <row r="231" spans="1:21" x14ac:dyDescent="0.25">
      <c r="A231" t="s">
        <v>246</v>
      </c>
      <c r="B231">
        <v>78766.972078674298</v>
      </c>
      <c r="C231">
        <v>70.452376907442499</v>
      </c>
      <c r="D231">
        <v>3827.5075799198498</v>
      </c>
      <c r="E231">
        <v>68529.512896330794</v>
      </c>
      <c r="F231">
        <v>151194.444931832</v>
      </c>
      <c r="G231" s="1">
        <f t="shared" si="20"/>
        <v>0.10270030987162455</v>
      </c>
      <c r="H231" s="3">
        <f t="shared" si="21"/>
        <v>1.0270030987162455E-3</v>
      </c>
      <c r="I231" s="14" t="s">
        <v>319</v>
      </c>
      <c r="J231" s="1"/>
      <c r="K231">
        <v>750167.19174121902</v>
      </c>
      <c r="L231">
        <v>65174.5221201522</v>
      </c>
      <c r="M231">
        <v>264083.44666062598</v>
      </c>
      <c r="N231">
        <v>13308290.0138351</v>
      </c>
      <c r="O231">
        <v>14387715.174357099</v>
      </c>
      <c r="P231" s="1">
        <f t="shared" si="22"/>
        <v>0.48734209407687235</v>
      </c>
      <c r="Q231" s="3">
        <f t="shared" si="23"/>
        <v>4.8734209407687232E-3</v>
      </c>
      <c r="T231">
        <f t="shared" ref="T231:T294" si="24">H231/Q231</f>
        <v>0.21073556156925125</v>
      </c>
      <c r="U231" t="s">
        <v>217</v>
      </c>
    </row>
    <row r="232" spans="1:21" x14ac:dyDescent="0.25">
      <c r="A232" t="s">
        <v>247</v>
      </c>
      <c r="B232">
        <v>1128616.04929235</v>
      </c>
      <c r="C232">
        <v>793713.45037766604</v>
      </c>
      <c r="D232">
        <v>259701.046925973</v>
      </c>
      <c r="E232">
        <v>3353951.5632595201</v>
      </c>
      <c r="F232">
        <v>5535982.1098555103</v>
      </c>
      <c r="G232" s="1">
        <f t="shared" si="20"/>
        <v>19.136392350105435</v>
      </c>
      <c r="H232" s="3">
        <f t="shared" si="21"/>
        <v>0.19136392350105436</v>
      </c>
      <c r="K232">
        <v>916072.97123825504</v>
      </c>
      <c r="L232">
        <v>17620.3151857257</v>
      </c>
      <c r="M232">
        <v>209205.10575777999</v>
      </c>
      <c r="N232">
        <v>13878300.049188999</v>
      </c>
      <c r="O232">
        <v>15021198.4413707</v>
      </c>
      <c r="P232" s="1">
        <f t="shared" si="22"/>
        <v>0.1268020737287707</v>
      </c>
      <c r="Q232" s="3">
        <f t="shared" si="23"/>
        <v>1.2680207372877069E-3</v>
      </c>
      <c r="T232">
        <f t="shared" si="24"/>
        <v>150.91545262136745</v>
      </c>
    </row>
    <row r="233" spans="1:21" x14ac:dyDescent="0.25">
      <c r="A233" t="s">
        <v>248</v>
      </c>
      <c r="B233">
        <v>1964857.6209575401</v>
      </c>
      <c r="C233">
        <v>22220.564318509201</v>
      </c>
      <c r="D233">
        <v>475138.41669331398</v>
      </c>
      <c r="E233">
        <v>3497222.6226357799</v>
      </c>
      <c r="F233">
        <v>5959439.2246051496</v>
      </c>
      <c r="G233" s="1">
        <f t="shared" si="20"/>
        <v>0.63136590472252463</v>
      </c>
      <c r="H233" s="3">
        <f t="shared" si="21"/>
        <v>6.3136590472252464E-3</v>
      </c>
      <c r="K233">
        <v>2317352.32164022</v>
      </c>
      <c r="L233">
        <v>9715.1956168718607</v>
      </c>
      <c r="M233">
        <v>303075.71862756001</v>
      </c>
      <c r="N233">
        <v>15778852.7257406</v>
      </c>
      <c r="O233">
        <v>18408995.9616253</v>
      </c>
      <c r="P233" s="1">
        <f t="shared" si="22"/>
        <v>6.1533102085401588E-2</v>
      </c>
      <c r="Q233" s="3">
        <f t="shared" si="23"/>
        <v>6.1533102085401588E-4</v>
      </c>
      <c r="T233">
        <f t="shared" si="24"/>
        <v>10.260589557897699</v>
      </c>
    </row>
    <row r="234" spans="1:21" x14ac:dyDescent="0.25">
      <c r="A234" t="s">
        <v>249</v>
      </c>
      <c r="B234">
        <v>1141149.8395291099</v>
      </c>
      <c r="C234">
        <v>330966.699906411</v>
      </c>
      <c r="D234">
        <v>81083.907967396997</v>
      </c>
      <c r="E234">
        <v>3746727.1434482899</v>
      </c>
      <c r="F234">
        <v>5299927.5908512203</v>
      </c>
      <c r="G234" s="1">
        <f t="shared" si="20"/>
        <v>8.1165166542794225</v>
      </c>
      <c r="H234" s="3">
        <f t="shared" si="21"/>
        <v>8.1165166542794223E-2</v>
      </c>
      <c r="K234">
        <v>1371655.6764720799</v>
      </c>
      <c r="L234">
        <v>34716.234565379396</v>
      </c>
      <c r="M234">
        <v>190641.68767891699</v>
      </c>
      <c r="N234">
        <v>13204317.3875344</v>
      </c>
      <c r="O234">
        <v>14801330.986250799</v>
      </c>
      <c r="P234" s="1">
        <f t="shared" si="22"/>
        <v>0.2622263494174375</v>
      </c>
      <c r="Q234" s="3">
        <f t="shared" si="23"/>
        <v>2.6222634941743747E-3</v>
      </c>
      <c r="T234">
        <f t="shared" si="24"/>
        <v>30.952330581236744</v>
      </c>
    </row>
    <row r="235" spans="1:21" x14ac:dyDescent="0.25">
      <c r="A235" t="s">
        <v>250</v>
      </c>
      <c r="B235">
        <v>2584050.0343727102</v>
      </c>
      <c r="C235">
        <v>115478.17883510599</v>
      </c>
      <c r="D235">
        <v>456161.09620040702</v>
      </c>
      <c r="E235">
        <v>8138496.13911313</v>
      </c>
      <c r="F235">
        <v>11294185.448521299</v>
      </c>
      <c r="G235" s="1">
        <f t="shared" si="20"/>
        <v>1.3990615234166544</v>
      </c>
      <c r="H235" s="3">
        <f t="shared" si="21"/>
        <v>1.3990615234166543E-2</v>
      </c>
      <c r="K235">
        <v>973263.84652009001</v>
      </c>
      <c r="L235">
        <v>13243.907810693099</v>
      </c>
      <c r="M235">
        <v>80348.965418134496</v>
      </c>
      <c r="N235">
        <v>8443935.6609708201</v>
      </c>
      <c r="O235">
        <v>9510792.3807197399</v>
      </c>
      <c r="P235" s="1">
        <f t="shared" si="22"/>
        <v>0.15659958149145983</v>
      </c>
      <c r="Q235" s="3">
        <f t="shared" si="23"/>
        <v>1.5659958149145984E-3</v>
      </c>
      <c r="T235">
        <f t="shared" si="24"/>
        <v>8.9340055068598776</v>
      </c>
    </row>
    <row r="236" spans="1:21" x14ac:dyDescent="0.25">
      <c r="A236" t="s">
        <v>251</v>
      </c>
      <c r="B236">
        <v>4171644.3598815999</v>
      </c>
      <c r="C236">
        <v>100800.40426193899</v>
      </c>
      <c r="D236">
        <v>1417033.7752032501</v>
      </c>
      <c r="E236">
        <v>8177228.7266772501</v>
      </c>
      <c r="F236">
        <v>13866707.266023999</v>
      </c>
      <c r="G236" s="1">
        <f t="shared" si="20"/>
        <v>1.2176860296999537</v>
      </c>
      <c r="H236" s="3">
        <f t="shared" si="21"/>
        <v>1.2176860296999537E-2</v>
      </c>
      <c r="K236">
        <v>1216583.2846061599</v>
      </c>
      <c r="L236">
        <v>23184.918974110999</v>
      </c>
      <c r="M236">
        <v>374090.19209184102</v>
      </c>
      <c r="N236">
        <v>9859407.7472615503</v>
      </c>
      <c r="O236">
        <v>11473266.1429336</v>
      </c>
      <c r="P236" s="1">
        <f t="shared" si="22"/>
        <v>0.23460360815359066</v>
      </c>
      <c r="Q236" s="3">
        <f t="shared" si="23"/>
        <v>2.3460360815359066E-3</v>
      </c>
      <c r="T236">
        <f t="shared" si="24"/>
        <v>5.1903977065124982</v>
      </c>
    </row>
    <row r="237" spans="1:21" x14ac:dyDescent="0.25">
      <c r="A237" t="s">
        <v>252</v>
      </c>
      <c r="B237">
        <v>3250358.6932182801</v>
      </c>
      <c r="C237">
        <v>78194.514656425599</v>
      </c>
      <c r="D237">
        <v>2075118.4842920899</v>
      </c>
      <c r="E237">
        <v>6913530.1028435901</v>
      </c>
      <c r="F237">
        <v>12317201.7950103</v>
      </c>
      <c r="G237" s="1">
        <f t="shared" si="20"/>
        <v>1.1183866489922638</v>
      </c>
      <c r="H237" s="3">
        <f t="shared" si="21"/>
        <v>1.1183866489922638E-2</v>
      </c>
      <c r="K237">
        <v>732976.09595594904</v>
      </c>
      <c r="L237">
        <v>23677.970519118</v>
      </c>
      <c r="M237">
        <v>365946.29581814603</v>
      </c>
      <c r="N237">
        <v>11456301.737260399</v>
      </c>
      <c r="O237">
        <v>12578902.0995536</v>
      </c>
      <c r="P237" s="1">
        <f t="shared" si="22"/>
        <v>0.20625446317707685</v>
      </c>
      <c r="Q237" s="3">
        <f t="shared" si="23"/>
        <v>2.0625446317707684E-3</v>
      </c>
      <c r="T237">
        <f t="shared" si="24"/>
        <v>5.4223633843602634</v>
      </c>
    </row>
    <row r="238" spans="1:21" x14ac:dyDescent="0.25">
      <c r="A238" t="s">
        <v>253</v>
      </c>
      <c r="B238">
        <v>2722665.8801194602</v>
      </c>
      <c r="C238">
        <v>80237.320197308305</v>
      </c>
      <c r="D238">
        <v>297558.926724902</v>
      </c>
      <c r="E238">
        <v>3641651.9497976601</v>
      </c>
      <c r="F238">
        <v>6742114.0768393399</v>
      </c>
      <c r="G238" s="1">
        <f t="shared" si="20"/>
        <v>2.155822335827223</v>
      </c>
      <c r="H238" s="3">
        <f t="shared" si="21"/>
        <v>2.1558223358272229E-2</v>
      </c>
      <c r="K238">
        <v>1458135.1885066901</v>
      </c>
      <c r="L238">
        <v>62522.066578997103</v>
      </c>
      <c r="M238">
        <v>414578.72051080602</v>
      </c>
      <c r="N238">
        <v>14220399.9484796</v>
      </c>
      <c r="O238">
        <v>16155635.924076101</v>
      </c>
      <c r="P238" s="1">
        <f t="shared" si="22"/>
        <v>0.43774002625708941</v>
      </c>
      <c r="Q238" s="3">
        <f t="shared" si="23"/>
        <v>4.3774002625708939E-3</v>
      </c>
      <c r="T238">
        <f t="shared" si="24"/>
        <v>4.9248919598709158</v>
      </c>
    </row>
    <row r="239" spans="1:21" x14ac:dyDescent="0.25">
      <c r="A239" t="s">
        <v>254</v>
      </c>
      <c r="B239">
        <v>4832225.2823422598</v>
      </c>
      <c r="C239">
        <v>198511.78451848499</v>
      </c>
      <c r="D239">
        <v>973306.96128445095</v>
      </c>
      <c r="E239">
        <v>4910059.1313402997</v>
      </c>
      <c r="F239">
        <v>10914103.1594855</v>
      </c>
      <c r="G239" s="1">
        <f t="shared" si="20"/>
        <v>3.8858574694976866</v>
      </c>
      <c r="H239" s="3">
        <f t="shared" si="21"/>
        <v>3.8858574694976868E-2</v>
      </c>
      <c r="K239">
        <v>1432500.6755484701</v>
      </c>
      <c r="L239">
        <v>13420.1317768014</v>
      </c>
      <c r="M239">
        <v>404573.00051713199</v>
      </c>
      <c r="N239">
        <v>9749123.2389815692</v>
      </c>
      <c r="O239">
        <v>11599617.0468239</v>
      </c>
      <c r="P239" s="1">
        <f t="shared" si="22"/>
        <v>0.13746552785617894</v>
      </c>
      <c r="Q239" s="3">
        <f t="shared" si="23"/>
        <v>1.3746552785617893E-3</v>
      </c>
      <c r="T239">
        <f t="shared" si="24"/>
        <v>28.267868534744228</v>
      </c>
    </row>
    <row r="240" spans="1:21" x14ac:dyDescent="0.25">
      <c r="A240" t="s">
        <v>255</v>
      </c>
      <c r="B240">
        <v>4138443.5730435001</v>
      </c>
      <c r="C240">
        <v>99870.210050032707</v>
      </c>
      <c r="D240">
        <v>1091330.18067067</v>
      </c>
      <c r="E240">
        <v>9757664.6223744098</v>
      </c>
      <c r="F240">
        <v>15087308.5861386</v>
      </c>
      <c r="G240" s="1">
        <f t="shared" si="20"/>
        <v>1.0131357560262337</v>
      </c>
      <c r="H240" s="3">
        <f t="shared" si="21"/>
        <v>1.0131357560262337E-2</v>
      </c>
      <c r="K240">
        <v>5295656.24252408</v>
      </c>
      <c r="L240">
        <v>397684.276950876</v>
      </c>
      <c r="M240">
        <v>660106.41225584794</v>
      </c>
      <c r="N240">
        <v>23382237.8917531</v>
      </c>
      <c r="O240">
        <v>29735684.823483899</v>
      </c>
      <c r="P240" s="1">
        <f t="shared" si="22"/>
        <v>1.672353147876388</v>
      </c>
      <c r="Q240" s="3">
        <f t="shared" si="23"/>
        <v>1.6723531478763879E-2</v>
      </c>
      <c r="T240">
        <f t="shared" si="24"/>
        <v>0.60581448201460841</v>
      </c>
      <c r="U240" t="s">
        <v>217</v>
      </c>
    </row>
    <row r="241" spans="1:20" x14ac:dyDescent="0.25">
      <c r="A241" t="s">
        <v>256</v>
      </c>
      <c r="B241">
        <v>2312567.0768511901</v>
      </c>
      <c r="C241">
        <v>60675.144002396097</v>
      </c>
      <c r="D241">
        <v>163220.76534784</v>
      </c>
      <c r="E241">
        <v>7029191.9283626303</v>
      </c>
      <c r="F241">
        <v>9565654.91456406</v>
      </c>
      <c r="G241" s="1">
        <f t="shared" si="20"/>
        <v>0.85580086880466988</v>
      </c>
      <c r="H241" s="3">
        <f t="shared" si="21"/>
        <v>8.5580086880466984E-3</v>
      </c>
      <c r="K241">
        <v>4513546.3555846196</v>
      </c>
      <c r="L241">
        <v>6575.1347217267003</v>
      </c>
      <c r="M241">
        <v>301569.47110542102</v>
      </c>
      <c r="N241">
        <v>11768450.159750201</v>
      </c>
      <c r="O241">
        <v>16590141.121161999</v>
      </c>
      <c r="P241" s="1">
        <f t="shared" si="22"/>
        <v>5.5839665370515656E-2</v>
      </c>
      <c r="Q241" s="3">
        <f t="shared" si="23"/>
        <v>5.5839665370515659E-4</v>
      </c>
      <c r="T241">
        <f t="shared" si="24"/>
        <v>15.326038634474841</v>
      </c>
    </row>
    <row r="242" spans="1:20" x14ac:dyDescent="0.25">
      <c r="A242" t="s">
        <v>257</v>
      </c>
      <c r="B242">
        <v>3678152.0343598598</v>
      </c>
      <c r="C242">
        <v>47348.400665290501</v>
      </c>
      <c r="D242">
        <v>1854337.31286897</v>
      </c>
      <c r="E242">
        <v>4278842.6575153796</v>
      </c>
      <c r="F242">
        <v>9858680.4054095093</v>
      </c>
      <c r="G242" s="1">
        <f t="shared" si="20"/>
        <v>1.0944593067787978</v>
      </c>
      <c r="H242" s="3">
        <f t="shared" si="21"/>
        <v>1.0944593067787977E-2</v>
      </c>
      <c r="K242">
        <v>2966996.7907604701</v>
      </c>
      <c r="L242">
        <v>48814.524821345003</v>
      </c>
      <c r="M242">
        <v>952775.41975990799</v>
      </c>
      <c r="N242">
        <v>23178092.827726699</v>
      </c>
      <c r="O242">
        <v>27146679.563068502</v>
      </c>
      <c r="P242" s="1">
        <f t="shared" si="22"/>
        <v>0.21016368679831987</v>
      </c>
      <c r="Q242" s="3">
        <f t="shared" si="23"/>
        <v>2.1016368679831988E-3</v>
      </c>
      <c r="T242">
        <f t="shared" si="24"/>
        <v>5.207651823452629</v>
      </c>
    </row>
    <row r="243" spans="1:20" x14ac:dyDescent="0.25">
      <c r="A243" t="s">
        <v>258</v>
      </c>
      <c r="B243">
        <v>5364565.6550983498</v>
      </c>
      <c r="C243">
        <v>20236.837099559601</v>
      </c>
      <c r="D243">
        <v>1277918.6072579499</v>
      </c>
      <c r="E243">
        <v>5865722.5444658203</v>
      </c>
      <c r="F243">
        <v>12528443.643921601</v>
      </c>
      <c r="G243" s="1">
        <f t="shared" si="20"/>
        <v>0.34381543921184149</v>
      </c>
      <c r="H243" s="3">
        <f t="shared" si="21"/>
        <v>3.4381543921184151E-3</v>
      </c>
      <c r="K243">
        <v>1770476.66290226</v>
      </c>
      <c r="L243">
        <v>40431.159835464598</v>
      </c>
      <c r="M243">
        <v>632147.28787541401</v>
      </c>
      <c r="N243">
        <v>11719821.6619085</v>
      </c>
      <c r="O243">
        <v>14162876.7725216</v>
      </c>
      <c r="P243" s="1">
        <f t="shared" si="22"/>
        <v>0.34379498849471957</v>
      </c>
      <c r="Q243" s="3">
        <f t="shared" si="23"/>
        <v>3.4379498849471954E-3</v>
      </c>
      <c r="T243">
        <f t="shared" si="24"/>
        <v>1.0000594852101001</v>
      </c>
    </row>
    <row r="244" spans="1:20" x14ac:dyDescent="0.25">
      <c r="A244" t="s">
        <v>259</v>
      </c>
      <c r="B244">
        <v>3874981.1993965898</v>
      </c>
      <c r="C244">
        <v>21014.419417577901</v>
      </c>
      <c r="D244">
        <v>663269.73860337201</v>
      </c>
      <c r="E244">
        <v>8191814.2538210899</v>
      </c>
      <c r="F244">
        <v>12751079.611238601</v>
      </c>
      <c r="G244" s="1">
        <f t="shared" si="20"/>
        <v>0.25587310114057232</v>
      </c>
      <c r="H244" s="3">
        <f t="shared" si="21"/>
        <v>2.5587310114057234E-3</v>
      </c>
      <c r="K244">
        <v>3251705.6665344699</v>
      </c>
      <c r="L244">
        <v>18812.156850868701</v>
      </c>
      <c r="M244">
        <v>297983.25263493002</v>
      </c>
      <c r="N244">
        <v>17196693.400796801</v>
      </c>
      <c r="O244">
        <v>20765194.476817101</v>
      </c>
      <c r="P244" s="1">
        <f t="shared" si="22"/>
        <v>0.10927449552889691</v>
      </c>
      <c r="Q244" s="3">
        <f t="shared" si="23"/>
        <v>1.0927449552889691E-3</v>
      </c>
      <c r="T244">
        <f t="shared" si="24"/>
        <v>2.3415628679146674</v>
      </c>
    </row>
    <row r="245" spans="1:20" x14ac:dyDescent="0.25">
      <c r="A245" t="s">
        <v>260</v>
      </c>
      <c r="B245">
        <v>2428993.3392141499</v>
      </c>
      <c r="C245">
        <v>18400.397220324299</v>
      </c>
      <c r="D245">
        <v>128989.84557870599</v>
      </c>
      <c r="E245">
        <v>3318673.4377949298</v>
      </c>
      <c r="F245">
        <v>5895057.0198081098</v>
      </c>
      <c r="G245" s="1">
        <f t="shared" si="20"/>
        <v>0.55139317048524905</v>
      </c>
      <c r="H245" s="3">
        <f t="shared" si="21"/>
        <v>5.5139317048524903E-3</v>
      </c>
      <c r="K245">
        <v>1658927.96964577</v>
      </c>
      <c r="L245">
        <v>8454.3678804764495</v>
      </c>
      <c r="M245">
        <v>83441.938622639194</v>
      </c>
      <c r="N245">
        <v>9898967.9066879097</v>
      </c>
      <c r="O245">
        <v>11649792.182836801</v>
      </c>
      <c r="P245" s="1">
        <f t="shared" si="22"/>
        <v>8.533367859143523E-2</v>
      </c>
      <c r="Q245" s="3">
        <f t="shared" si="23"/>
        <v>8.5333678591435237E-4</v>
      </c>
      <c r="T245">
        <f t="shared" si="24"/>
        <v>6.4616125729823066</v>
      </c>
    </row>
    <row r="246" spans="1:20" x14ac:dyDescent="0.25">
      <c r="A246" t="s">
        <v>261</v>
      </c>
      <c r="B246">
        <v>5880106.9949610298</v>
      </c>
      <c r="C246">
        <v>114451.442470297</v>
      </c>
      <c r="D246">
        <v>1071792.0065816201</v>
      </c>
      <c r="E246">
        <v>11820626.5098466</v>
      </c>
      <c r="F246">
        <v>18886976.953859601</v>
      </c>
      <c r="G246" s="1">
        <f t="shared" si="20"/>
        <v>0.95895010428548655</v>
      </c>
      <c r="H246" s="3">
        <f t="shared" si="21"/>
        <v>9.5895010428548658E-3</v>
      </c>
      <c r="I246" s="1"/>
      <c r="J246" s="1"/>
      <c r="K246">
        <v>1936493.7236359699</v>
      </c>
      <c r="L246">
        <v>10089.4034361584</v>
      </c>
      <c r="M246">
        <v>430285.23963201803</v>
      </c>
      <c r="N246">
        <v>20309330.178122599</v>
      </c>
      <c r="O246">
        <v>22686198.544826701</v>
      </c>
      <c r="P246" s="1">
        <f t="shared" si="22"/>
        <v>4.9653994277057079E-2</v>
      </c>
      <c r="Q246" s="3">
        <f t="shared" si="23"/>
        <v>4.9653994277057076E-4</v>
      </c>
      <c r="R246" s="1"/>
      <c r="T246">
        <f t="shared" si="24"/>
        <v>19.312647819121679</v>
      </c>
    </row>
    <row r="247" spans="1:20" x14ac:dyDescent="0.25">
      <c r="A247" t="s">
        <v>262</v>
      </c>
      <c r="B247">
        <v>2307149.03297575</v>
      </c>
      <c r="C247">
        <v>45280.468929281298</v>
      </c>
      <c r="D247">
        <v>576241.55309957406</v>
      </c>
      <c r="E247">
        <v>4263630.43032315</v>
      </c>
      <c r="F247">
        <v>7192301.4853277598</v>
      </c>
      <c r="G247" s="1">
        <f t="shared" si="20"/>
        <v>1.0508564690241604</v>
      </c>
      <c r="H247" s="3">
        <f t="shared" si="21"/>
        <v>1.0508564690241603E-2</v>
      </c>
      <c r="K247">
        <v>2969888.3437271002</v>
      </c>
      <c r="L247">
        <v>33920.5701867151</v>
      </c>
      <c r="M247">
        <v>336076.62796201301</v>
      </c>
      <c r="N247">
        <v>13154569.606177701</v>
      </c>
      <c r="O247">
        <v>16494455.148053501</v>
      </c>
      <c r="P247" s="1">
        <f t="shared" si="22"/>
        <v>0.25719828223783653</v>
      </c>
      <c r="Q247" s="3">
        <f t="shared" si="23"/>
        <v>2.5719828223783655E-3</v>
      </c>
      <c r="T247">
        <f t="shared" si="24"/>
        <v>4.085783388134808</v>
      </c>
    </row>
    <row r="248" spans="1:20" x14ac:dyDescent="0.25">
      <c r="A248" t="s">
        <v>263</v>
      </c>
      <c r="B248">
        <v>5807033.7877545496</v>
      </c>
      <c r="C248">
        <v>113360.522425752</v>
      </c>
      <c r="D248">
        <v>1209672.0734639999</v>
      </c>
      <c r="E248">
        <v>8138528.5100664403</v>
      </c>
      <c r="F248">
        <v>15268594.893710701</v>
      </c>
      <c r="G248" s="1">
        <f t="shared" si="20"/>
        <v>1.3737523854161118</v>
      </c>
      <c r="H248" s="3">
        <f t="shared" si="21"/>
        <v>1.3737523854161118E-2</v>
      </c>
      <c r="K248">
        <v>1112685.6867621699</v>
      </c>
      <c r="L248">
        <v>11218.9553075763</v>
      </c>
      <c r="M248">
        <v>262551.00638329203</v>
      </c>
      <c r="N248">
        <v>12402225.909233199</v>
      </c>
      <c r="O248">
        <v>13788681.557686299</v>
      </c>
      <c r="P248" s="1">
        <f t="shared" si="22"/>
        <v>9.037745307608723E-2</v>
      </c>
      <c r="Q248" s="3">
        <f t="shared" si="23"/>
        <v>9.037745307608723E-4</v>
      </c>
      <c r="T248">
        <f t="shared" si="24"/>
        <v>15.200167062238114</v>
      </c>
    </row>
    <row r="249" spans="1:20" x14ac:dyDescent="0.25">
      <c r="A249" t="s">
        <v>264</v>
      </c>
      <c r="B249">
        <v>2501732.8492048602</v>
      </c>
      <c r="C249">
        <v>18588.228395337101</v>
      </c>
      <c r="D249">
        <v>359592.27249083202</v>
      </c>
      <c r="E249">
        <v>3840923.4219833701</v>
      </c>
      <c r="F249">
        <v>6720836.7720744098</v>
      </c>
      <c r="G249" s="1">
        <f t="shared" si="20"/>
        <v>0.48162125365039815</v>
      </c>
      <c r="H249" s="3">
        <f t="shared" si="21"/>
        <v>4.8162125365039813E-3</v>
      </c>
      <c r="K249">
        <v>1018093.8981642399</v>
      </c>
      <c r="L249">
        <v>16230.537007024401</v>
      </c>
      <c r="M249">
        <v>323321.96602250799</v>
      </c>
      <c r="N249">
        <v>9288215.7178222798</v>
      </c>
      <c r="O249">
        <v>10645862.119015999</v>
      </c>
      <c r="P249" s="1">
        <f t="shared" si="22"/>
        <v>0.17443850566174463</v>
      </c>
      <c r="Q249" s="3">
        <f t="shared" si="23"/>
        <v>1.7443850566174462E-3</v>
      </c>
      <c r="T249">
        <f t="shared" si="24"/>
        <v>2.7609801621685208</v>
      </c>
    </row>
    <row r="250" spans="1:20" x14ac:dyDescent="0.25">
      <c r="A250" t="s">
        <v>265</v>
      </c>
      <c r="B250">
        <v>3186219.6564748301</v>
      </c>
      <c r="C250">
        <v>68651.924258761006</v>
      </c>
      <c r="D250">
        <v>621958.47109533497</v>
      </c>
      <c r="E250">
        <v>8700120.6007322501</v>
      </c>
      <c r="F250">
        <v>12576950.6525611</v>
      </c>
      <c r="G250" s="1">
        <f t="shared" si="20"/>
        <v>0.78291373237363548</v>
      </c>
      <c r="H250" s="3">
        <f t="shared" si="21"/>
        <v>7.8291373237363553E-3</v>
      </c>
      <c r="K250">
        <v>1956137.07855302</v>
      </c>
      <c r="L250">
        <v>18548.664710286801</v>
      </c>
      <c r="M250">
        <v>451245.161268597</v>
      </c>
      <c r="N250">
        <v>14236196.1274576</v>
      </c>
      <c r="O250">
        <v>16662127.0319895</v>
      </c>
      <c r="P250" s="1">
        <f t="shared" si="22"/>
        <v>0.13012274145011815</v>
      </c>
      <c r="Q250" s="3">
        <f t="shared" si="23"/>
        <v>1.3012274145011815E-3</v>
      </c>
      <c r="T250">
        <f t="shared" si="24"/>
        <v>6.0167325376691458</v>
      </c>
    </row>
    <row r="251" spans="1:20" x14ac:dyDescent="0.25">
      <c r="A251" t="s">
        <v>266</v>
      </c>
      <c r="B251">
        <v>5830201.1901175696</v>
      </c>
      <c r="C251">
        <v>57000.888812660101</v>
      </c>
      <c r="D251">
        <v>1379426.1251163799</v>
      </c>
      <c r="E251">
        <v>4925890.5798393302</v>
      </c>
      <c r="F251">
        <v>12192518.7838859</v>
      </c>
      <c r="G251" s="1">
        <f t="shared" si="20"/>
        <v>1.143931975465651</v>
      </c>
      <c r="H251" s="3">
        <f t="shared" si="21"/>
        <v>1.1439319754656509E-2</v>
      </c>
      <c r="K251">
        <v>5250025.2849990604</v>
      </c>
      <c r="L251">
        <v>187494.612638583</v>
      </c>
      <c r="M251">
        <v>875634.03475316602</v>
      </c>
      <c r="N251">
        <v>33396702.4438136</v>
      </c>
      <c r="O251">
        <v>39709856.376204498</v>
      </c>
      <c r="P251" s="1">
        <f t="shared" si="22"/>
        <v>0.55828225496479922</v>
      </c>
      <c r="Q251" s="3">
        <f t="shared" si="23"/>
        <v>5.5828225496479924E-3</v>
      </c>
      <c r="T251">
        <f t="shared" si="24"/>
        <v>2.0490208407891775</v>
      </c>
    </row>
    <row r="252" spans="1:20" x14ac:dyDescent="0.25">
      <c r="A252" t="s">
        <v>267</v>
      </c>
      <c r="B252">
        <v>1029312.28933015</v>
      </c>
      <c r="C252">
        <v>20242.995521115001</v>
      </c>
      <c r="D252">
        <v>150869.533315874</v>
      </c>
      <c r="E252">
        <v>2868073.5211369898</v>
      </c>
      <c r="F252">
        <v>4068498.3393041301</v>
      </c>
      <c r="G252" s="1">
        <f t="shared" si="20"/>
        <v>0.70085793590714007</v>
      </c>
      <c r="H252" s="3">
        <f t="shared" si="21"/>
        <v>7.0085793590714002E-3</v>
      </c>
      <c r="K252">
        <v>481056.90208410798</v>
      </c>
      <c r="L252">
        <v>5034.9364797492899</v>
      </c>
      <c r="M252">
        <v>130432.18560253701</v>
      </c>
      <c r="N252">
        <v>6277850.3312397404</v>
      </c>
      <c r="O252">
        <v>6894374.35540614</v>
      </c>
      <c r="P252" s="1">
        <f t="shared" si="22"/>
        <v>8.0137329669507554E-2</v>
      </c>
      <c r="Q252" s="3">
        <f t="shared" si="23"/>
        <v>8.013732966950756E-4</v>
      </c>
      <c r="T252">
        <f t="shared" si="24"/>
        <v>8.7457111286030056</v>
      </c>
    </row>
    <row r="253" spans="1:20" x14ac:dyDescent="0.25">
      <c r="A253" t="s">
        <v>268</v>
      </c>
      <c r="B253">
        <v>3053698.71651597</v>
      </c>
      <c r="C253">
        <v>63184.061553596701</v>
      </c>
      <c r="D253">
        <v>455337.99972457503</v>
      </c>
      <c r="E253">
        <v>2947036.74210503</v>
      </c>
      <c r="F253">
        <v>6519257.5198991802</v>
      </c>
      <c r="G253" s="1">
        <f t="shared" si="20"/>
        <v>2.0989842830400582</v>
      </c>
      <c r="H253" s="3">
        <f t="shared" si="21"/>
        <v>2.0989842830400583E-2</v>
      </c>
      <c r="K253">
        <v>1141605.87314334</v>
      </c>
      <c r="L253">
        <v>70895.004777647599</v>
      </c>
      <c r="M253">
        <v>340158.518400106</v>
      </c>
      <c r="N253">
        <v>17132397.8896196</v>
      </c>
      <c r="O253">
        <v>18685057.285940699</v>
      </c>
      <c r="P253" s="1">
        <f t="shared" si="22"/>
        <v>0.41210136462151742</v>
      </c>
      <c r="Q253" s="3">
        <f t="shared" si="23"/>
        <v>4.121013646215174E-3</v>
      </c>
      <c r="T253">
        <f t="shared" si="24"/>
        <v>5.0933689214249744</v>
      </c>
    </row>
    <row r="254" spans="1:20" x14ac:dyDescent="0.25">
      <c r="A254" t="s">
        <v>269</v>
      </c>
      <c r="B254">
        <v>1743070.44643241</v>
      </c>
      <c r="C254">
        <v>147141.37178968199</v>
      </c>
      <c r="D254">
        <v>455173.18200781598</v>
      </c>
      <c r="E254">
        <v>7061699.9137927899</v>
      </c>
      <c r="F254">
        <v>9407084.9140227102</v>
      </c>
      <c r="G254" s="1">
        <f t="shared" si="20"/>
        <v>2.041123752911048</v>
      </c>
      <c r="H254" s="3">
        <f t="shared" si="21"/>
        <v>2.041123752911048E-2</v>
      </c>
      <c r="K254">
        <v>1273570.0057441201</v>
      </c>
      <c r="L254">
        <v>27196.8903650553</v>
      </c>
      <c r="M254">
        <v>170074.70319174699</v>
      </c>
      <c r="N254">
        <v>13085582.768089799</v>
      </c>
      <c r="O254">
        <v>14556424.3673908</v>
      </c>
      <c r="P254" s="1">
        <f t="shared" si="22"/>
        <v>0.20740751445113545</v>
      </c>
      <c r="Q254" s="3">
        <f t="shared" si="23"/>
        <v>2.0740751445113546E-3</v>
      </c>
      <c r="T254">
        <f t="shared" si="24"/>
        <v>9.841127301064736</v>
      </c>
    </row>
    <row r="255" spans="1:20" x14ac:dyDescent="0.25">
      <c r="A255" t="s">
        <v>270</v>
      </c>
      <c r="B255">
        <v>2824521.23040119</v>
      </c>
      <c r="C255">
        <v>132856.25358994</v>
      </c>
      <c r="D255">
        <v>992579.81577880902</v>
      </c>
      <c r="E255">
        <v>5572616.1642111298</v>
      </c>
      <c r="F255">
        <v>9522573.4639810696</v>
      </c>
      <c r="G255" s="1">
        <f t="shared" si="20"/>
        <v>2.3285758629807511</v>
      </c>
      <c r="H255" s="3">
        <f t="shared" si="21"/>
        <v>2.3285758629807512E-2</v>
      </c>
      <c r="K255">
        <v>2996420.2702372898</v>
      </c>
      <c r="L255">
        <v>49575.422657727198</v>
      </c>
      <c r="M255">
        <v>1029017.07727548</v>
      </c>
      <c r="N255">
        <v>21257171.846646801</v>
      </c>
      <c r="O255">
        <v>25332184.616817299</v>
      </c>
      <c r="P255" s="1">
        <f t="shared" si="22"/>
        <v>0.23267475805257148</v>
      </c>
      <c r="Q255" s="3">
        <f t="shared" si="23"/>
        <v>2.3267475805257148E-3</v>
      </c>
      <c r="T255">
        <f t="shared" si="24"/>
        <v>10.007857674250266</v>
      </c>
    </row>
    <row r="256" spans="1:20" x14ac:dyDescent="0.25">
      <c r="A256" t="s">
        <v>271</v>
      </c>
      <c r="B256">
        <v>891216.00502524897</v>
      </c>
      <c r="C256">
        <v>32812.837515278297</v>
      </c>
      <c r="D256">
        <v>161892.294285112</v>
      </c>
      <c r="E256">
        <v>3835998.4169390099</v>
      </c>
      <c r="F256">
        <v>4921919.5537646497</v>
      </c>
      <c r="G256" s="1">
        <f t="shared" si="20"/>
        <v>0.84813746024698955</v>
      </c>
      <c r="H256" s="3">
        <f t="shared" si="21"/>
        <v>8.481374602469895E-3</v>
      </c>
      <c r="I256" s="1"/>
      <c r="J256" s="1"/>
      <c r="K256">
        <v>6537865.2536309203</v>
      </c>
      <c r="L256">
        <v>72106.128447208306</v>
      </c>
      <c r="M256">
        <v>151112.99838644901</v>
      </c>
      <c r="N256">
        <v>20249492.833650701</v>
      </c>
      <c r="O256">
        <v>27010577.214115299</v>
      </c>
      <c r="P256" s="1">
        <f t="shared" si="22"/>
        <v>0.35482507346835468</v>
      </c>
      <c r="Q256" s="3">
        <f t="shared" si="23"/>
        <v>3.5482507346835468E-3</v>
      </c>
      <c r="R256" s="1"/>
      <c r="T256">
        <f t="shared" si="24"/>
        <v>2.3902974272832251</v>
      </c>
    </row>
    <row r="257" spans="1:20" x14ac:dyDescent="0.25">
      <c r="A257" t="s">
        <v>272</v>
      </c>
      <c r="B257">
        <v>1733434.4459384701</v>
      </c>
      <c r="C257">
        <v>137292.39362318799</v>
      </c>
      <c r="D257">
        <v>477928.199546944</v>
      </c>
      <c r="E257">
        <v>3927959.1043906701</v>
      </c>
      <c r="F257">
        <v>6276614.1434992803</v>
      </c>
      <c r="G257" s="1">
        <f t="shared" si="20"/>
        <v>3.3772177118750051</v>
      </c>
      <c r="H257" s="3">
        <f t="shared" si="21"/>
        <v>3.3772177118750052E-2</v>
      </c>
      <c r="K257">
        <v>994976.59894904203</v>
      </c>
      <c r="L257">
        <v>420015.58175851498</v>
      </c>
      <c r="M257">
        <v>109388.61075438801</v>
      </c>
      <c r="N257">
        <v>10254157.9736642</v>
      </c>
      <c r="O257">
        <v>11778538.7651262</v>
      </c>
      <c r="P257" s="1">
        <f t="shared" si="22"/>
        <v>3.9348768274911343</v>
      </c>
      <c r="Q257" s="3">
        <f t="shared" si="23"/>
        <v>3.9348768274911343E-2</v>
      </c>
      <c r="T257">
        <f t="shared" si="24"/>
        <v>0.85827787245587284</v>
      </c>
    </row>
    <row r="258" spans="1:20" x14ac:dyDescent="0.25">
      <c r="A258" t="s">
        <v>273</v>
      </c>
      <c r="B258">
        <v>2432863.4028266398</v>
      </c>
      <c r="C258">
        <v>153237.38843034499</v>
      </c>
      <c r="D258">
        <v>146759.369909045</v>
      </c>
      <c r="E258">
        <v>3248524.0401507001</v>
      </c>
      <c r="F258">
        <v>5981384.2013167404</v>
      </c>
      <c r="G258" s="1">
        <f t="shared" si="20"/>
        <v>4.5046483019905343</v>
      </c>
      <c r="H258" s="3">
        <f t="shared" si="21"/>
        <v>4.5046483019905346E-2</v>
      </c>
      <c r="I258" s="13" t="s">
        <v>318</v>
      </c>
      <c r="K258">
        <v>2037814.811127</v>
      </c>
      <c r="L258">
        <v>38614.237909920201</v>
      </c>
      <c r="M258">
        <v>154572.34855689801</v>
      </c>
      <c r="N258">
        <v>20489326.360135298</v>
      </c>
      <c r="O258">
        <v>22720327.757729098</v>
      </c>
      <c r="P258" s="1">
        <f t="shared" si="22"/>
        <v>0.18810575627638582</v>
      </c>
      <c r="Q258" s="3">
        <f t="shared" si="23"/>
        <v>1.8810575627638583E-3</v>
      </c>
      <c r="T258">
        <f t="shared" si="24"/>
        <v>23.947423997869613</v>
      </c>
    </row>
    <row r="259" spans="1:20" x14ac:dyDescent="0.25">
      <c r="A259" t="s">
        <v>274</v>
      </c>
      <c r="B259">
        <v>5425445.2205418302</v>
      </c>
      <c r="C259">
        <v>79495.251282141093</v>
      </c>
      <c r="D259">
        <v>945808.12604768702</v>
      </c>
      <c r="E259">
        <v>7320237.9300985904</v>
      </c>
      <c r="F259">
        <v>13770986.5279702</v>
      </c>
      <c r="G259" s="1">
        <f t="shared" si="20"/>
        <v>1.074298887994606</v>
      </c>
      <c r="H259" s="3">
        <f t="shared" si="21"/>
        <v>1.0742988879946061E-2</v>
      </c>
      <c r="K259">
        <v>1796113.5987382301</v>
      </c>
      <c r="L259">
        <v>14436.7865883541</v>
      </c>
      <c r="M259">
        <v>267394.55351123097</v>
      </c>
      <c r="N259">
        <v>12295057.4119265</v>
      </c>
      <c r="O259">
        <v>14373002.350764301</v>
      </c>
      <c r="P259" s="1">
        <f t="shared" si="22"/>
        <v>0.11728172056083266</v>
      </c>
      <c r="Q259" s="3">
        <f t="shared" si="23"/>
        <v>1.1728172056083266E-3</v>
      </c>
      <c r="T259">
        <f t="shared" si="24"/>
        <v>9.1599857408075778</v>
      </c>
    </row>
    <row r="260" spans="1:20" x14ac:dyDescent="0.25">
      <c r="A260" t="s">
        <v>275</v>
      </c>
      <c r="B260">
        <v>5620901.1049523801</v>
      </c>
      <c r="C260">
        <v>593603.19148434</v>
      </c>
      <c r="D260">
        <v>831984.40286109596</v>
      </c>
      <c r="E260">
        <v>6459537.2044687103</v>
      </c>
      <c r="F260">
        <v>13506025.9037665</v>
      </c>
      <c r="G260" s="1">
        <f t="shared" si="20"/>
        <v>8.4161544809874691</v>
      </c>
      <c r="H260" s="3">
        <f t="shared" si="21"/>
        <v>8.41615448098747E-2</v>
      </c>
      <c r="I260" s="1"/>
      <c r="J260" s="1"/>
      <c r="K260">
        <v>2485518.9364378401</v>
      </c>
      <c r="L260">
        <v>401414.58792444301</v>
      </c>
      <c r="M260">
        <v>517035.797955152</v>
      </c>
      <c r="N260">
        <v>22332194.506609801</v>
      </c>
      <c r="O260">
        <v>25736163.828927301</v>
      </c>
      <c r="P260" s="1">
        <f t="shared" si="22"/>
        <v>1.7657319005320347</v>
      </c>
      <c r="Q260" s="3">
        <f t="shared" si="23"/>
        <v>1.7657319005320346E-2</v>
      </c>
      <c r="R260" s="1"/>
      <c r="T260">
        <f t="shared" si="24"/>
        <v>4.7663829817264949</v>
      </c>
    </row>
    <row r="261" spans="1:20" x14ac:dyDescent="0.25">
      <c r="A261" t="s">
        <v>276</v>
      </c>
      <c r="B261">
        <v>4501624.1192566501</v>
      </c>
      <c r="C261">
        <v>75659.620347179603</v>
      </c>
      <c r="D261">
        <v>320891.68213617901</v>
      </c>
      <c r="E261">
        <v>4982278.3773101596</v>
      </c>
      <c r="F261">
        <v>9880453.7990501709</v>
      </c>
      <c r="G261" s="1">
        <f t="shared" si="20"/>
        <v>1.4958589919888798</v>
      </c>
      <c r="H261" s="3">
        <f t="shared" si="21"/>
        <v>1.4958589919888798E-2</v>
      </c>
      <c r="K261">
        <v>2076489.55885843</v>
      </c>
      <c r="L261">
        <v>63309.830502271798</v>
      </c>
      <c r="M261">
        <v>277726.33031866601</v>
      </c>
      <c r="N261">
        <v>24212634.5336008</v>
      </c>
      <c r="O261">
        <v>26630160.253280099</v>
      </c>
      <c r="P261" s="1">
        <f t="shared" si="22"/>
        <v>0.26079245178979849</v>
      </c>
      <c r="Q261" s="3">
        <f t="shared" si="23"/>
        <v>2.6079245178979847E-3</v>
      </c>
      <c r="T261">
        <f t="shared" si="24"/>
        <v>5.7358216532837325</v>
      </c>
    </row>
    <row r="262" spans="1:20" x14ac:dyDescent="0.25">
      <c r="A262" t="s">
        <v>277</v>
      </c>
      <c r="B262">
        <v>4098623.8640513201</v>
      </c>
      <c r="C262">
        <v>91158.540146392101</v>
      </c>
      <c r="D262">
        <v>238653.00222769799</v>
      </c>
      <c r="E262">
        <v>9014173.8643718492</v>
      </c>
      <c r="F262">
        <v>13442609.270797201</v>
      </c>
      <c r="G262" s="1">
        <f t="shared" si="20"/>
        <v>1.0011555437685886</v>
      </c>
      <c r="H262" s="3">
        <f t="shared" si="21"/>
        <v>1.0011555437685886E-2</v>
      </c>
      <c r="K262">
        <v>2629368.8324562898</v>
      </c>
      <c r="L262">
        <v>21420.9875875334</v>
      </c>
      <c r="M262">
        <v>117286.435978988</v>
      </c>
      <c r="N262">
        <v>15039692.998154201</v>
      </c>
      <c r="O262">
        <v>17807769.254177</v>
      </c>
      <c r="P262" s="1">
        <f t="shared" si="22"/>
        <v>0.14222711286703307</v>
      </c>
      <c r="Q262" s="3">
        <f t="shared" si="23"/>
        <v>1.4222711286703308E-3</v>
      </c>
      <c r="T262">
        <f t="shared" si="24"/>
        <v>7.0391328600233933</v>
      </c>
    </row>
    <row r="263" spans="1:20" x14ac:dyDescent="0.25">
      <c r="A263" t="s">
        <v>278</v>
      </c>
      <c r="B263">
        <v>3906898.4282204402</v>
      </c>
      <c r="C263">
        <v>149237.49647665099</v>
      </c>
      <c r="D263">
        <v>880373.56366979599</v>
      </c>
      <c r="E263">
        <v>5928695.4737003697</v>
      </c>
      <c r="F263">
        <v>10865204.9620672</v>
      </c>
      <c r="G263" s="1">
        <f t="shared" si="20"/>
        <v>2.4553988536715372</v>
      </c>
      <c r="H263" s="3">
        <f t="shared" si="21"/>
        <v>2.4553988536715372E-2</v>
      </c>
      <c r="K263">
        <v>2832090.60781301</v>
      </c>
      <c r="L263">
        <v>43272.666833396303</v>
      </c>
      <c r="M263">
        <v>292548.44507883198</v>
      </c>
      <c r="N263">
        <v>23399908.378317598</v>
      </c>
      <c r="O263">
        <v>26567820.098042902</v>
      </c>
      <c r="P263" s="1">
        <f t="shared" si="22"/>
        <v>0.18458530329162326</v>
      </c>
      <c r="Q263" s="3">
        <f t="shared" si="23"/>
        <v>1.8458530329162326E-3</v>
      </c>
      <c r="T263">
        <f t="shared" si="24"/>
        <v>13.302244598489477</v>
      </c>
    </row>
    <row r="264" spans="1:20" x14ac:dyDescent="0.25">
      <c r="A264" t="s">
        <v>279</v>
      </c>
      <c r="B264">
        <v>1195738.8426271901</v>
      </c>
      <c r="C264">
        <v>27097.782364071802</v>
      </c>
      <c r="D264">
        <v>124396.167130171</v>
      </c>
      <c r="E264">
        <v>4470248.5654464597</v>
      </c>
      <c r="F264">
        <v>5817481.3575678999</v>
      </c>
      <c r="G264" s="1">
        <f t="shared" si="20"/>
        <v>0.60252825262755161</v>
      </c>
      <c r="H264" s="3">
        <f t="shared" si="21"/>
        <v>6.0252825262755161E-3</v>
      </c>
      <c r="K264">
        <v>3258276.3193983599</v>
      </c>
      <c r="L264">
        <v>38675.196910959501</v>
      </c>
      <c r="M264">
        <v>224715.53919856</v>
      </c>
      <c r="N264">
        <v>17613348.391571</v>
      </c>
      <c r="O264">
        <v>21135015.447078899</v>
      </c>
      <c r="P264" s="1">
        <f t="shared" si="22"/>
        <v>0.21909780891180816</v>
      </c>
      <c r="Q264" s="3">
        <f t="shared" si="23"/>
        <v>2.1909780891180815E-3</v>
      </c>
      <c r="T264">
        <f t="shared" si="24"/>
        <v>2.7500423469322914</v>
      </c>
    </row>
    <row r="265" spans="1:20" x14ac:dyDescent="0.25">
      <c r="A265" t="s">
        <v>280</v>
      </c>
      <c r="B265">
        <v>821488.96448439301</v>
      </c>
      <c r="C265">
        <v>42024.9503974131</v>
      </c>
      <c r="D265">
        <v>52079.016196164099</v>
      </c>
      <c r="E265">
        <v>2930013.7476388798</v>
      </c>
      <c r="F265">
        <v>3845606.6787168598</v>
      </c>
      <c r="G265" s="1">
        <f t="shared" si="20"/>
        <v>1.4140108749317473</v>
      </c>
      <c r="H265" s="3">
        <f t="shared" si="21"/>
        <v>1.4140108749317473E-2</v>
      </c>
      <c r="K265">
        <v>4450993.3561416101</v>
      </c>
      <c r="L265">
        <v>16191.9411740184</v>
      </c>
      <c r="M265">
        <v>167570.19271104201</v>
      </c>
      <c r="N265">
        <v>14803004.2341864</v>
      </c>
      <c r="O265">
        <v>19437759.724213101</v>
      </c>
      <c r="P265" s="1">
        <f t="shared" si="22"/>
        <v>0.10926328919877866</v>
      </c>
      <c r="Q265" s="3">
        <f t="shared" si="23"/>
        <v>1.0926328919877866E-3</v>
      </c>
      <c r="T265">
        <f t="shared" si="24"/>
        <v>12.941317118499787</v>
      </c>
    </row>
    <row r="266" spans="1:20" x14ac:dyDescent="0.25">
      <c r="A266" t="s">
        <v>281</v>
      </c>
      <c r="B266">
        <v>4794957.9768654499</v>
      </c>
      <c r="C266">
        <v>44803.484527078501</v>
      </c>
      <c r="D266">
        <v>418588.98071105999</v>
      </c>
      <c r="E266">
        <v>3624710.4936076598</v>
      </c>
      <c r="F266">
        <v>8883060.9357112497</v>
      </c>
      <c r="G266" s="1">
        <f t="shared" si="20"/>
        <v>1.2209650867675041</v>
      </c>
      <c r="H266" s="3">
        <f t="shared" si="21"/>
        <v>1.2209650867675042E-2</v>
      </c>
      <c r="K266">
        <v>2499652.77369919</v>
      </c>
      <c r="L266">
        <v>9768.7241776045303</v>
      </c>
      <c r="M266">
        <v>131021.403537028</v>
      </c>
      <c r="N266">
        <v>17503137.6615583</v>
      </c>
      <c r="O266">
        <v>20143580.562972199</v>
      </c>
      <c r="P266" s="1">
        <f t="shared" si="22"/>
        <v>5.5780142726972286E-2</v>
      </c>
      <c r="Q266" s="3">
        <f t="shared" si="23"/>
        <v>5.5780142726972288E-4</v>
      </c>
      <c r="T266">
        <f t="shared" si="24"/>
        <v>21.888884235090185</v>
      </c>
    </row>
    <row r="267" spans="1:20" x14ac:dyDescent="0.25">
      <c r="A267" t="s">
        <v>282</v>
      </c>
      <c r="B267">
        <v>3452796.9771599201</v>
      </c>
      <c r="C267">
        <v>94611.004957201803</v>
      </c>
      <c r="D267">
        <v>928764.273521628</v>
      </c>
      <c r="E267">
        <v>6079972.6697174702</v>
      </c>
      <c r="F267">
        <v>10556144.9253562</v>
      </c>
      <c r="G267" s="1">
        <f t="shared" ref="G267:G302" si="25">(C267/(C267+E267))*100</f>
        <v>1.532265330620638</v>
      </c>
      <c r="H267" s="3">
        <f t="shared" ref="H267:H302" si="26">(C267/(C267+E267))</f>
        <v>1.532265330620638E-2</v>
      </c>
      <c r="K267">
        <v>3756169.4985824102</v>
      </c>
      <c r="L267">
        <v>31211.464678905799</v>
      </c>
      <c r="M267">
        <v>194209.52787399001</v>
      </c>
      <c r="N267">
        <v>16214151.2253929</v>
      </c>
      <c r="O267">
        <v>20195741.7165282</v>
      </c>
      <c r="P267" s="1">
        <f t="shared" ref="P267:P302" si="27">(L267/(L267+N267))*100</f>
        <v>0.19212537925041451</v>
      </c>
      <c r="Q267" s="3">
        <f t="shared" ref="Q267:Q302" si="28">(L267/(L267+N267))</f>
        <v>1.9212537925041451E-3</v>
      </c>
      <c r="T267">
        <f t="shared" si="24"/>
        <v>7.9753405645773476</v>
      </c>
    </row>
    <row r="268" spans="1:20" x14ac:dyDescent="0.25">
      <c r="A268" t="s">
        <v>283</v>
      </c>
      <c r="B268">
        <v>2560331.42783699</v>
      </c>
      <c r="C268">
        <v>72187.674725004807</v>
      </c>
      <c r="D268">
        <v>1133613.0001461999</v>
      </c>
      <c r="E268">
        <v>6971134.6437869295</v>
      </c>
      <c r="F268">
        <v>10737266.7464951</v>
      </c>
      <c r="G268" s="1">
        <f t="shared" si="25"/>
        <v>1.0249094313811857</v>
      </c>
      <c r="H268" s="3">
        <f t="shared" si="26"/>
        <v>1.0249094313811857E-2</v>
      </c>
      <c r="K268">
        <v>2145746.6843769602</v>
      </c>
      <c r="L268">
        <v>29636.4489456261</v>
      </c>
      <c r="M268">
        <v>221574.90991768401</v>
      </c>
      <c r="N268">
        <v>15442978.016853901</v>
      </c>
      <c r="O268">
        <v>17839936.0600942</v>
      </c>
      <c r="P268" s="1">
        <f t="shared" si="27"/>
        <v>0.1915413132740697</v>
      </c>
      <c r="Q268" s="3">
        <f t="shared" si="28"/>
        <v>1.915413132740697E-3</v>
      </c>
      <c r="T268">
        <f t="shared" si="24"/>
        <v>5.3508531076775014</v>
      </c>
    </row>
    <row r="269" spans="1:20" x14ac:dyDescent="0.25">
      <c r="A269" t="s">
        <v>284</v>
      </c>
      <c r="B269">
        <v>2163274.4839882902</v>
      </c>
      <c r="C269">
        <v>53503.787487019297</v>
      </c>
      <c r="D269">
        <v>246844.78339443399</v>
      </c>
      <c r="E269">
        <v>6095989.3203738304</v>
      </c>
      <c r="F269">
        <v>8559612.37524358</v>
      </c>
      <c r="G269" s="1">
        <f t="shared" si="25"/>
        <v>0.87005199532016431</v>
      </c>
      <c r="H269" s="3">
        <f t="shared" si="26"/>
        <v>8.7005199532016429E-3</v>
      </c>
      <c r="K269">
        <v>1708134.5618900501</v>
      </c>
      <c r="L269">
        <v>15907.6804533794</v>
      </c>
      <c r="M269">
        <v>115640.43118831499</v>
      </c>
      <c r="N269">
        <v>14836677.8893304</v>
      </c>
      <c r="O269">
        <v>16676360.5628621</v>
      </c>
      <c r="P269" s="1">
        <f t="shared" si="27"/>
        <v>0.10710377919479633</v>
      </c>
      <c r="Q269" s="3">
        <f t="shared" si="28"/>
        <v>1.0710377919479633E-3</v>
      </c>
      <c r="T269">
        <f t="shared" si="24"/>
        <v>8.1234481347081733</v>
      </c>
    </row>
    <row r="270" spans="1:20" x14ac:dyDescent="0.25">
      <c r="A270" t="s">
        <v>285</v>
      </c>
      <c r="B270">
        <v>4340355.6249040496</v>
      </c>
      <c r="C270">
        <v>112281.70834599801</v>
      </c>
      <c r="D270">
        <v>573099.99790324003</v>
      </c>
      <c r="E270">
        <v>6496855.3446559403</v>
      </c>
      <c r="F270">
        <v>11522592.675809201</v>
      </c>
      <c r="G270" s="1">
        <f t="shared" si="25"/>
        <v>1.6988860640285632</v>
      </c>
      <c r="H270" s="3">
        <f t="shared" si="26"/>
        <v>1.6988860640285632E-2</v>
      </c>
      <c r="K270">
        <v>1014507.43347102</v>
      </c>
      <c r="L270">
        <v>23136.328907203198</v>
      </c>
      <c r="M270">
        <v>79110.7696261003</v>
      </c>
      <c r="N270">
        <v>12460468.535711201</v>
      </c>
      <c r="O270">
        <v>13577223.0677156</v>
      </c>
      <c r="P270" s="1">
        <f t="shared" si="27"/>
        <v>0.18533371696806286</v>
      </c>
      <c r="Q270" s="3">
        <f t="shared" si="28"/>
        <v>1.8533371696806285E-3</v>
      </c>
      <c r="T270">
        <f t="shared" si="24"/>
        <v>9.1666324499460572</v>
      </c>
    </row>
    <row r="271" spans="1:20" x14ac:dyDescent="0.25">
      <c r="A271" t="s">
        <v>286</v>
      </c>
      <c r="B271">
        <v>5466455.95633444</v>
      </c>
      <c r="C271">
        <v>94656.604467993195</v>
      </c>
      <c r="D271">
        <v>1401117.1996392901</v>
      </c>
      <c r="E271">
        <v>8085179.76197288</v>
      </c>
      <c r="F271">
        <v>15047409.5224146</v>
      </c>
      <c r="G271" s="1">
        <f t="shared" si="25"/>
        <v>1.1571943523997315</v>
      </c>
      <c r="H271" s="3">
        <f t="shared" si="26"/>
        <v>1.1571943523997315E-2</v>
      </c>
      <c r="K271">
        <v>1074728.89581328</v>
      </c>
      <c r="L271">
        <v>24590.358812848801</v>
      </c>
      <c r="M271">
        <v>78816.934495678099</v>
      </c>
      <c r="N271">
        <v>13712612.437894</v>
      </c>
      <c r="O271">
        <v>14890748.627015799</v>
      </c>
      <c r="P271" s="1">
        <f t="shared" si="27"/>
        <v>0.17900557469198697</v>
      </c>
      <c r="Q271" s="3">
        <f t="shared" si="28"/>
        <v>1.7900557469198697E-3</v>
      </c>
      <c r="T271">
        <f t="shared" si="24"/>
        <v>6.4645715888508155</v>
      </c>
    </row>
    <row r="272" spans="1:20" x14ac:dyDescent="0.25">
      <c r="A272" t="s">
        <v>287</v>
      </c>
      <c r="B272">
        <v>3087733.2049309998</v>
      </c>
      <c r="C272">
        <v>79675.506641114494</v>
      </c>
      <c r="D272">
        <v>434563.85688588099</v>
      </c>
      <c r="E272">
        <v>7046689.5049143499</v>
      </c>
      <c r="F272">
        <v>10648662.073372301</v>
      </c>
      <c r="G272" s="1">
        <f t="shared" si="25"/>
        <v>1.1180385303295572</v>
      </c>
      <c r="H272" s="3">
        <f t="shared" si="26"/>
        <v>1.1180385303295572E-2</v>
      </c>
      <c r="I272" s="1"/>
      <c r="J272" s="1"/>
      <c r="K272">
        <v>1381649.4720055701</v>
      </c>
      <c r="L272">
        <v>16585.702031921199</v>
      </c>
      <c r="M272">
        <v>284840.665070255</v>
      </c>
      <c r="N272">
        <v>17643700.733398799</v>
      </c>
      <c r="O272">
        <v>19326776.572506499</v>
      </c>
      <c r="P272" s="1">
        <f t="shared" si="27"/>
        <v>9.3915249294294276E-2</v>
      </c>
      <c r="Q272" s="3">
        <f t="shared" si="28"/>
        <v>9.3915249294294282E-4</v>
      </c>
      <c r="R272" s="1"/>
      <c r="T272">
        <f t="shared" si="24"/>
        <v>11.904760288992625</v>
      </c>
    </row>
    <row r="273" spans="1:20" x14ac:dyDescent="0.25">
      <c r="A273" t="s">
        <v>288</v>
      </c>
      <c r="B273">
        <v>1809338.1630863899</v>
      </c>
      <c r="C273">
        <v>166648.65663258699</v>
      </c>
      <c r="D273">
        <v>669932.60420011997</v>
      </c>
      <c r="E273">
        <v>3323228.8615939301</v>
      </c>
      <c r="F273">
        <v>5969148.2855130304</v>
      </c>
      <c r="G273" s="1">
        <f t="shared" si="25"/>
        <v>4.7752007273101773</v>
      </c>
      <c r="H273" s="3">
        <f t="shared" si="26"/>
        <v>4.7752007273101769E-2</v>
      </c>
      <c r="K273">
        <v>1382669.79177178</v>
      </c>
      <c r="L273">
        <v>38954.005055253503</v>
      </c>
      <c r="M273">
        <v>234305.868506128</v>
      </c>
      <c r="N273">
        <v>11382768.6570914</v>
      </c>
      <c r="O273">
        <v>13038698.3224246</v>
      </c>
      <c r="P273" s="1">
        <f t="shared" si="27"/>
        <v>0.34105192541886059</v>
      </c>
      <c r="Q273" s="3">
        <f t="shared" si="28"/>
        <v>3.4105192541886058E-3</v>
      </c>
      <c r="T273">
        <f t="shared" si="24"/>
        <v>14.001389147548565</v>
      </c>
    </row>
    <row r="274" spans="1:20" x14ac:dyDescent="0.25">
      <c r="A274" t="s">
        <v>289</v>
      </c>
      <c r="B274">
        <v>4342061.3015319305</v>
      </c>
      <c r="C274">
        <v>101515.799961486</v>
      </c>
      <c r="D274">
        <v>1089986.9255242699</v>
      </c>
      <c r="E274">
        <v>14424823.9029356</v>
      </c>
      <c r="F274">
        <v>19958387.929953299</v>
      </c>
      <c r="G274" s="1">
        <f t="shared" si="25"/>
        <v>0.69883950146945839</v>
      </c>
      <c r="H274" s="3">
        <f t="shared" si="26"/>
        <v>6.9883950146945838E-3</v>
      </c>
      <c r="K274">
        <v>3769423.17681649</v>
      </c>
      <c r="L274">
        <v>22255.662557217602</v>
      </c>
      <c r="M274">
        <v>429152.14395071397</v>
      </c>
      <c r="N274">
        <v>17660409.993627701</v>
      </c>
      <c r="O274">
        <v>21881240.976952098</v>
      </c>
      <c r="P274" s="1">
        <f t="shared" si="27"/>
        <v>0.12586146789148372</v>
      </c>
      <c r="Q274" s="3">
        <f t="shared" si="28"/>
        <v>1.2586146789148372E-3</v>
      </c>
      <c r="T274">
        <f t="shared" si="24"/>
        <v>5.5524499529275282</v>
      </c>
    </row>
    <row r="275" spans="1:20" x14ac:dyDescent="0.25">
      <c r="A275" t="s">
        <v>290</v>
      </c>
      <c r="B275">
        <v>2951314.3864984098</v>
      </c>
      <c r="C275">
        <v>21382.2255454652</v>
      </c>
      <c r="D275">
        <v>412255.57632795401</v>
      </c>
      <c r="E275">
        <v>5421129.6718595</v>
      </c>
      <c r="F275">
        <v>8806081.8602313306</v>
      </c>
      <c r="G275" s="1">
        <f t="shared" si="25"/>
        <v>0.39287420861055766</v>
      </c>
      <c r="H275" s="3">
        <f t="shared" si="26"/>
        <v>3.9287420861055765E-3</v>
      </c>
      <c r="K275">
        <v>1285033.7354188201</v>
      </c>
      <c r="L275">
        <v>16033.9361018088</v>
      </c>
      <c r="M275">
        <v>57962.679008038896</v>
      </c>
      <c r="N275">
        <v>13407622.3119413</v>
      </c>
      <c r="O275">
        <v>14766652.662469899</v>
      </c>
      <c r="P275" s="1">
        <f t="shared" si="27"/>
        <v>0.11944537170449532</v>
      </c>
      <c r="Q275" s="3">
        <f t="shared" si="28"/>
        <v>1.1944537170449532E-3</v>
      </c>
      <c r="T275">
        <f t="shared" si="24"/>
        <v>3.2891538868707113</v>
      </c>
    </row>
    <row r="276" spans="1:20" x14ac:dyDescent="0.25">
      <c r="A276" t="s">
        <v>291</v>
      </c>
      <c r="B276">
        <v>575725.94174825004</v>
      </c>
      <c r="C276">
        <v>460416.04058589099</v>
      </c>
      <c r="D276">
        <v>182786.27834497899</v>
      </c>
      <c r="E276">
        <v>2632827.41787638</v>
      </c>
      <c r="F276">
        <v>3851755.6785555002</v>
      </c>
      <c r="G276" s="1">
        <f t="shared" si="25"/>
        <v>14.884571705027557</v>
      </c>
      <c r="H276" s="3">
        <f t="shared" si="26"/>
        <v>0.14884571705027558</v>
      </c>
      <c r="K276">
        <v>2130506.7857504999</v>
      </c>
      <c r="L276">
        <v>63086.464902909102</v>
      </c>
      <c r="M276">
        <v>211268.476223973</v>
      </c>
      <c r="N276">
        <v>14638257.2430072</v>
      </c>
      <c r="O276">
        <v>17043118.9698846</v>
      </c>
      <c r="P276" s="1">
        <f t="shared" si="27"/>
        <v>0.42912039985137695</v>
      </c>
      <c r="Q276" s="3">
        <f t="shared" si="28"/>
        <v>4.2912039985137694E-3</v>
      </c>
      <c r="T276">
        <f t="shared" si="24"/>
        <v>34.68623656713298</v>
      </c>
    </row>
    <row r="277" spans="1:20" x14ac:dyDescent="0.25">
      <c r="A277" t="s">
        <v>292</v>
      </c>
      <c r="B277">
        <v>3403708.78836921</v>
      </c>
      <c r="C277">
        <v>41278.013273065</v>
      </c>
      <c r="D277">
        <v>727768.22807166295</v>
      </c>
      <c r="E277">
        <v>3926226.3408250702</v>
      </c>
      <c r="F277">
        <v>8098981.3705390096</v>
      </c>
      <c r="G277" s="1">
        <f t="shared" si="25"/>
        <v>1.0404024693867797</v>
      </c>
      <c r="H277" s="3">
        <f t="shared" si="26"/>
        <v>1.0404024693867796E-2</v>
      </c>
      <c r="K277">
        <v>3464533.7909186599</v>
      </c>
      <c r="L277">
        <v>34578.930134905</v>
      </c>
      <c r="M277">
        <v>509975.751295113</v>
      </c>
      <c r="N277">
        <v>20119093.4057898</v>
      </c>
      <c r="O277">
        <v>24128181.878138501</v>
      </c>
      <c r="P277" s="1">
        <f t="shared" si="27"/>
        <v>0.17157632394998659</v>
      </c>
      <c r="Q277" s="3">
        <f t="shared" si="28"/>
        <v>1.715763239499866E-3</v>
      </c>
      <c r="T277">
        <f t="shared" si="24"/>
        <v>6.0637880882099457</v>
      </c>
    </row>
    <row r="278" spans="1:20" x14ac:dyDescent="0.25">
      <c r="A278" t="s">
        <v>293</v>
      </c>
      <c r="B278">
        <v>1743761.0894791</v>
      </c>
      <c r="C278">
        <v>85912.749144707501</v>
      </c>
      <c r="D278">
        <v>619426.208327648</v>
      </c>
      <c r="E278">
        <v>6295376.7051667096</v>
      </c>
      <c r="F278">
        <v>8744476.7521181796</v>
      </c>
      <c r="G278" s="1">
        <f t="shared" si="25"/>
        <v>1.3463227104776121</v>
      </c>
      <c r="H278" s="3">
        <f t="shared" si="26"/>
        <v>1.3463227104776121E-2</v>
      </c>
      <c r="K278">
        <v>840751.62801164505</v>
      </c>
      <c r="L278">
        <v>12811.358517549301</v>
      </c>
      <c r="M278">
        <v>297976.14088745898</v>
      </c>
      <c r="N278">
        <v>9144123.8439184502</v>
      </c>
      <c r="O278">
        <v>10295662.9713351</v>
      </c>
      <c r="P278" s="1">
        <f t="shared" si="27"/>
        <v>0.13990880392100102</v>
      </c>
      <c r="Q278" s="3">
        <f t="shared" si="28"/>
        <v>1.3990880392100102E-3</v>
      </c>
      <c r="T278">
        <f t="shared" si="24"/>
        <v>9.622859124989791</v>
      </c>
    </row>
    <row r="279" spans="1:20" x14ac:dyDescent="0.25">
      <c r="A279" t="s">
        <v>294</v>
      </c>
      <c r="B279">
        <v>5204019.1175051397</v>
      </c>
      <c r="C279">
        <v>153586.42185845101</v>
      </c>
      <c r="D279">
        <v>1939150.04576827</v>
      </c>
      <c r="E279">
        <v>8784255.3860264402</v>
      </c>
      <c r="F279">
        <v>16081010.9711583</v>
      </c>
      <c r="G279" s="1">
        <f t="shared" si="25"/>
        <v>1.7183837570604388</v>
      </c>
      <c r="H279" s="3">
        <f t="shared" si="26"/>
        <v>1.7183837570604387E-2</v>
      </c>
      <c r="K279">
        <v>1922958.1207178601</v>
      </c>
      <c r="L279">
        <v>27208.021695724801</v>
      </c>
      <c r="M279">
        <v>213577.929314518</v>
      </c>
      <c r="N279">
        <v>19173341.9020092</v>
      </c>
      <c r="O279">
        <v>21337085.973737299</v>
      </c>
      <c r="P279" s="1">
        <f t="shared" si="27"/>
        <v>0.14170438765471963</v>
      </c>
      <c r="Q279" s="3">
        <f t="shared" si="28"/>
        <v>1.4170438765471961E-3</v>
      </c>
      <c r="T279">
        <f t="shared" si="24"/>
        <v>12.126538814362577</v>
      </c>
    </row>
    <row r="280" spans="1:20" x14ac:dyDescent="0.25">
      <c r="A280" t="s">
        <v>295</v>
      </c>
      <c r="B280">
        <v>2085926.3804190699</v>
      </c>
      <c r="C280">
        <v>70998.365975560693</v>
      </c>
      <c r="D280">
        <v>786092.29495150002</v>
      </c>
      <c r="E280">
        <v>5174755.5460674204</v>
      </c>
      <c r="F280">
        <v>8117772.5874135504</v>
      </c>
      <c r="G280" s="1">
        <f t="shared" si="25"/>
        <v>1.3534444651047324</v>
      </c>
      <c r="H280" s="3">
        <f t="shared" si="26"/>
        <v>1.3534444651047323E-2</v>
      </c>
      <c r="K280">
        <v>1830949.81956776</v>
      </c>
      <c r="L280">
        <v>87254.779803871395</v>
      </c>
      <c r="M280">
        <v>643493.06869724498</v>
      </c>
      <c r="N280">
        <v>15104628.1413632</v>
      </c>
      <c r="O280">
        <v>17666325.809432</v>
      </c>
      <c r="P280" s="1">
        <f t="shared" si="27"/>
        <v>0.57435131811276685</v>
      </c>
      <c r="Q280" s="3">
        <f t="shared" si="28"/>
        <v>5.7435131811276689E-3</v>
      </c>
      <c r="T280">
        <f t="shared" si="24"/>
        <v>2.3564749003309502</v>
      </c>
    </row>
    <row r="281" spans="1:20" x14ac:dyDescent="0.25">
      <c r="A281" t="s">
        <v>296</v>
      </c>
      <c r="B281">
        <v>3669718.1497888402</v>
      </c>
      <c r="C281">
        <v>45968.697558091597</v>
      </c>
      <c r="D281">
        <v>3424787.0076180599</v>
      </c>
      <c r="E281">
        <v>5506300.2612937205</v>
      </c>
      <c r="F281">
        <v>12646774.116258699</v>
      </c>
      <c r="G281" s="1">
        <f t="shared" si="25"/>
        <v>0.82792634684609634</v>
      </c>
      <c r="H281" s="3">
        <f t="shared" si="26"/>
        <v>8.279263468460963E-3</v>
      </c>
      <c r="I281" s="1"/>
      <c r="J281" s="1"/>
      <c r="K281">
        <v>3054807.2578076799</v>
      </c>
      <c r="L281">
        <v>15399.829501149001</v>
      </c>
      <c r="M281">
        <v>283503.59727482102</v>
      </c>
      <c r="N281">
        <v>17006931.3169301</v>
      </c>
      <c r="O281">
        <v>20360642.001513701</v>
      </c>
      <c r="P281" s="1">
        <f t="shared" si="27"/>
        <v>9.0468393363253255E-2</v>
      </c>
      <c r="Q281" s="3">
        <f t="shared" si="28"/>
        <v>9.046839336325326E-4</v>
      </c>
      <c r="T281">
        <f t="shared" si="24"/>
        <v>9.1515535544194382</v>
      </c>
    </row>
    <row r="282" spans="1:20" x14ac:dyDescent="0.25">
      <c r="A282" t="s">
        <v>297</v>
      </c>
      <c r="B282">
        <v>5176412.8448200598</v>
      </c>
      <c r="C282">
        <v>90600.003483257606</v>
      </c>
      <c r="D282">
        <v>2442501.3166553201</v>
      </c>
      <c r="E282">
        <v>7512399.0902094599</v>
      </c>
      <c r="F282">
        <v>15221913.255168101</v>
      </c>
      <c r="G282" s="1">
        <f t="shared" si="25"/>
        <v>1.1916350688298438</v>
      </c>
      <c r="H282" s="3">
        <f t="shared" si="26"/>
        <v>1.1916350688298438E-2</v>
      </c>
      <c r="K282">
        <v>3821977.6547851502</v>
      </c>
      <c r="L282">
        <v>64098.779714799297</v>
      </c>
      <c r="M282">
        <v>868409.76711755001</v>
      </c>
      <c r="N282">
        <v>32424879.534775302</v>
      </c>
      <c r="O282">
        <v>37179365.736392803</v>
      </c>
      <c r="P282" s="1">
        <f t="shared" si="27"/>
        <v>0.19729392255530301</v>
      </c>
      <c r="Q282" s="3">
        <f t="shared" si="28"/>
        <v>1.9729392255530302E-3</v>
      </c>
      <c r="T282">
        <f t="shared" si="24"/>
        <v>6.0398974960610827</v>
      </c>
    </row>
    <row r="283" spans="1:20" x14ac:dyDescent="0.25">
      <c r="A283" t="s">
        <v>298</v>
      </c>
      <c r="B283">
        <v>1964390.8554449801</v>
      </c>
      <c r="C283">
        <v>96087.589882021697</v>
      </c>
      <c r="D283">
        <v>280890.85152465699</v>
      </c>
      <c r="E283">
        <v>3557225.61953995</v>
      </c>
      <c r="F283">
        <v>5898594.9163916204</v>
      </c>
      <c r="G283" s="1">
        <f t="shared" si="25"/>
        <v>2.6301492473793315</v>
      </c>
      <c r="H283" s="3">
        <f t="shared" si="26"/>
        <v>2.6301492473793316E-2</v>
      </c>
      <c r="I283" s="1"/>
      <c r="J283" s="1"/>
      <c r="K283">
        <v>1447690.94003085</v>
      </c>
      <c r="L283">
        <v>15720.4423014111</v>
      </c>
      <c r="M283">
        <v>170003.54992880501</v>
      </c>
      <c r="N283">
        <v>11213401.6969434</v>
      </c>
      <c r="O283">
        <v>12846816.6292044</v>
      </c>
      <c r="P283" s="1">
        <f t="shared" si="27"/>
        <v>0.13999707284748031</v>
      </c>
      <c r="Q283" s="3">
        <f t="shared" si="28"/>
        <v>1.3999707284748032E-3</v>
      </c>
      <c r="T283">
        <f t="shared" si="24"/>
        <v>18.787173145003862</v>
      </c>
    </row>
    <row r="284" spans="1:20" x14ac:dyDescent="0.25">
      <c r="A284" t="s">
        <v>299</v>
      </c>
      <c r="B284">
        <v>1976254.5105035701</v>
      </c>
      <c r="C284">
        <v>87153.919456280593</v>
      </c>
      <c r="D284">
        <v>94663.230109791097</v>
      </c>
      <c r="E284">
        <v>4912569.8936473597</v>
      </c>
      <c r="F284">
        <v>7070641.5537170004</v>
      </c>
      <c r="G284" s="1">
        <f t="shared" si="25"/>
        <v>1.7431746775264114</v>
      </c>
      <c r="H284" s="3">
        <f t="shared" si="26"/>
        <v>1.7431746775264115E-2</v>
      </c>
      <c r="K284">
        <v>573632.620998675</v>
      </c>
      <c r="L284">
        <v>108881.360358794</v>
      </c>
      <c r="M284">
        <v>46281.5019749926</v>
      </c>
      <c r="N284">
        <v>7645123.2540018</v>
      </c>
      <c r="O284">
        <v>8373918.7373342598</v>
      </c>
      <c r="P284" s="1">
        <f t="shared" si="27"/>
        <v>1.4041951968553543</v>
      </c>
      <c r="Q284" s="3">
        <f t="shared" si="28"/>
        <v>1.4041951968553543E-2</v>
      </c>
      <c r="T284">
        <f t="shared" si="24"/>
        <v>1.2414048142524556</v>
      </c>
    </row>
    <row r="285" spans="1:20" x14ac:dyDescent="0.25">
      <c r="A285" t="s">
        <v>300</v>
      </c>
      <c r="B285">
        <v>10228656.0584336</v>
      </c>
      <c r="C285">
        <v>26909.3933925866</v>
      </c>
      <c r="D285">
        <v>1224250.46253203</v>
      </c>
      <c r="E285">
        <v>4603420.6475975197</v>
      </c>
      <c r="F285">
        <v>16083236.5619557</v>
      </c>
      <c r="G285" s="1">
        <f t="shared" si="25"/>
        <v>0.58115497500978464</v>
      </c>
      <c r="H285" s="3">
        <f t="shared" si="26"/>
        <v>5.8115497500978467E-3</v>
      </c>
      <c r="K285">
        <v>3847799.0991306799</v>
      </c>
      <c r="L285">
        <v>53038.945203534597</v>
      </c>
      <c r="M285">
        <v>275414.05191537697</v>
      </c>
      <c r="N285">
        <v>26820499.955225401</v>
      </c>
      <c r="O285">
        <v>30996752.051475</v>
      </c>
      <c r="P285" s="1">
        <f t="shared" si="27"/>
        <v>0.19736494475124014</v>
      </c>
      <c r="Q285" s="3">
        <f t="shared" si="28"/>
        <v>1.9736494475124013E-3</v>
      </c>
      <c r="T285">
        <f t="shared" si="24"/>
        <v>2.9445704035348101</v>
      </c>
    </row>
    <row r="286" spans="1:20" x14ac:dyDescent="0.25">
      <c r="A286" t="s">
        <v>301</v>
      </c>
      <c r="B286">
        <v>4286708.9780148799</v>
      </c>
      <c r="C286">
        <v>119709.224421053</v>
      </c>
      <c r="D286">
        <v>478387.456658991</v>
      </c>
      <c r="E286">
        <v>10284722.9654315</v>
      </c>
      <c r="F286">
        <v>15169528.6245264</v>
      </c>
      <c r="G286" s="1">
        <f t="shared" si="25"/>
        <v>1.1505598982883993</v>
      </c>
      <c r="H286" s="3">
        <f t="shared" si="26"/>
        <v>1.1505598982883994E-2</v>
      </c>
      <c r="K286">
        <v>857103.47038906196</v>
      </c>
      <c r="L286">
        <v>6686.95363204364</v>
      </c>
      <c r="M286">
        <v>72063.616925453403</v>
      </c>
      <c r="N286">
        <v>8944395.0811876804</v>
      </c>
      <c r="O286">
        <v>9880249.1221342403</v>
      </c>
      <c r="P286" s="1">
        <f t="shared" si="27"/>
        <v>7.4705533990543041E-2</v>
      </c>
      <c r="Q286" s="3">
        <f t="shared" si="28"/>
        <v>7.4705533990543035E-4</v>
      </c>
      <c r="T286">
        <f t="shared" si="24"/>
        <v>15.401267306837651</v>
      </c>
    </row>
    <row r="287" spans="1:20" x14ac:dyDescent="0.25">
      <c r="A287" t="s">
        <v>302</v>
      </c>
      <c r="B287">
        <v>6723141.7568592802</v>
      </c>
      <c r="C287">
        <v>34682.0055383496</v>
      </c>
      <c r="D287">
        <v>1626077.3449853801</v>
      </c>
      <c r="E287">
        <v>6018947.1509212703</v>
      </c>
      <c r="F287">
        <v>14402848.258304199</v>
      </c>
      <c r="G287" s="1">
        <f t="shared" si="25"/>
        <v>0.57291262219691175</v>
      </c>
      <c r="H287" s="3">
        <f t="shared" si="26"/>
        <v>5.7291262219691177E-3</v>
      </c>
      <c r="K287">
        <v>4937969.57874888</v>
      </c>
      <c r="L287">
        <v>16087.4363039332</v>
      </c>
      <c r="M287">
        <v>562654.562111123</v>
      </c>
      <c r="N287">
        <v>28805877.506340399</v>
      </c>
      <c r="O287">
        <v>34322589.083504401</v>
      </c>
      <c r="P287" s="1">
        <f t="shared" si="27"/>
        <v>5.5816584108499108E-2</v>
      </c>
      <c r="Q287" s="3">
        <f t="shared" si="28"/>
        <v>5.5816584108499105E-4</v>
      </c>
      <c r="T287">
        <f t="shared" si="24"/>
        <v>10.26420070929556</v>
      </c>
    </row>
    <row r="288" spans="1:20" x14ac:dyDescent="0.25">
      <c r="A288" t="s">
        <v>303</v>
      </c>
      <c r="B288">
        <v>2490229.7238125899</v>
      </c>
      <c r="C288">
        <v>159964.38773529301</v>
      </c>
      <c r="D288">
        <v>1664820.04250081</v>
      </c>
      <c r="E288">
        <v>8999911.7911814302</v>
      </c>
      <c r="F288">
        <v>13314925.9452301</v>
      </c>
      <c r="G288" s="1">
        <f t="shared" si="25"/>
        <v>1.7463597172141136</v>
      </c>
      <c r="H288" s="3">
        <f t="shared" si="26"/>
        <v>1.7463597172141136E-2</v>
      </c>
      <c r="I288" s="1"/>
      <c r="J288" s="1"/>
      <c r="K288">
        <v>4301942.7228358602</v>
      </c>
      <c r="L288">
        <v>65325.573756673497</v>
      </c>
      <c r="M288">
        <v>1379413.15858947</v>
      </c>
      <c r="N288">
        <v>31061921.008622501</v>
      </c>
      <c r="O288">
        <v>36808602.463804498</v>
      </c>
      <c r="P288" s="1">
        <f t="shared" si="27"/>
        <v>0.20986621345960507</v>
      </c>
      <c r="Q288" s="3">
        <f t="shared" si="28"/>
        <v>2.0986621345960507E-3</v>
      </c>
      <c r="T288">
        <f t="shared" si="24"/>
        <v>8.3212999769029139</v>
      </c>
    </row>
    <row r="289" spans="1:20" x14ac:dyDescent="0.25">
      <c r="A289" t="s">
        <v>304</v>
      </c>
      <c r="B289">
        <v>1706265.2779538</v>
      </c>
      <c r="C289">
        <v>88777.399672760104</v>
      </c>
      <c r="D289">
        <v>313310.63445521699</v>
      </c>
      <c r="E289">
        <v>8083965.35584349</v>
      </c>
      <c r="F289">
        <v>10192318.667925199</v>
      </c>
      <c r="G289" s="1">
        <f t="shared" si="25"/>
        <v>1.0862620093216464</v>
      </c>
      <c r="H289" s="3">
        <f t="shared" si="26"/>
        <v>1.0862620093216464E-2</v>
      </c>
      <c r="K289">
        <v>2177962.7812776198</v>
      </c>
      <c r="L289">
        <v>53574.244213215701</v>
      </c>
      <c r="M289">
        <v>812808.92515706201</v>
      </c>
      <c r="N289">
        <v>20281085.567458399</v>
      </c>
      <c r="O289">
        <v>23325431.5181063</v>
      </c>
      <c r="P289" s="1">
        <f t="shared" si="27"/>
        <v>0.26346270215184692</v>
      </c>
      <c r="Q289" s="3">
        <f t="shared" si="28"/>
        <v>2.6346270215184694E-3</v>
      </c>
      <c r="T289">
        <f t="shared" si="24"/>
        <v>4.123020072479096</v>
      </c>
    </row>
    <row r="290" spans="1:20" x14ac:dyDescent="0.25">
      <c r="A290" t="s">
        <v>305</v>
      </c>
      <c r="B290">
        <v>2333866.3669852</v>
      </c>
      <c r="C290">
        <v>178265.178285175</v>
      </c>
      <c r="D290">
        <v>252559.64532563099</v>
      </c>
      <c r="E290">
        <v>4248901.8211808102</v>
      </c>
      <c r="F290">
        <v>7013593.0117768301</v>
      </c>
      <c r="G290" s="1">
        <f t="shared" si="25"/>
        <v>4.0266196939640579</v>
      </c>
      <c r="H290" s="3">
        <f t="shared" si="26"/>
        <v>4.0266196939640578E-2</v>
      </c>
      <c r="K290">
        <v>2940257.3138027298</v>
      </c>
      <c r="L290">
        <v>23956.239539785001</v>
      </c>
      <c r="M290">
        <v>541607.55145319004</v>
      </c>
      <c r="N290">
        <v>19722030.684503801</v>
      </c>
      <c r="O290">
        <v>23227851.789299499</v>
      </c>
      <c r="P290" s="1">
        <f t="shared" si="27"/>
        <v>0.12132206727340038</v>
      </c>
      <c r="Q290" s="3">
        <f t="shared" si="28"/>
        <v>1.2132206727340038E-3</v>
      </c>
      <c r="T290">
        <f t="shared" si="24"/>
        <v>33.189507766052436</v>
      </c>
    </row>
    <row r="291" spans="1:20" x14ac:dyDescent="0.25">
      <c r="A291" t="s">
        <v>306</v>
      </c>
      <c r="B291">
        <v>5559099.9797772197</v>
      </c>
      <c r="C291">
        <v>72454.313749145993</v>
      </c>
      <c r="D291">
        <v>909493.07397625397</v>
      </c>
      <c r="E291">
        <v>4433770.8400964197</v>
      </c>
      <c r="F291">
        <v>10974818.207598999</v>
      </c>
      <c r="G291" s="1">
        <f t="shared" si="25"/>
        <v>1.6078715837648332</v>
      </c>
      <c r="H291" s="3">
        <f t="shared" si="26"/>
        <v>1.6078715837648333E-2</v>
      </c>
      <c r="K291">
        <v>1592958.7649807399</v>
      </c>
      <c r="L291">
        <v>31614.948094638901</v>
      </c>
      <c r="M291">
        <v>335078.12182542903</v>
      </c>
      <c r="N291">
        <v>13603529.413744001</v>
      </c>
      <c r="O291">
        <v>15563181.248644801</v>
      </c>
      <c r="P291" s="1">
        <f t="shared" si="27"/>
        <v>0.23186368442948974</v>
      </c>
      <c r="Q291" s="3">
        <f t="shared" si="28"/>
        <v>2.3186368442948972E-3</v>
      </c>
      <c r="T291">
        <f t="shared" si="24"/>
        <v>6.9345554812564476</v>
      </c>
    </row>
    <row r="292" spans="1:20" x14ac:dyDescent="0.25">
      <c r="A292" t="s">
        <v>307</v>
      </c>
      <c r="B292">
        <v>3090712.0176026099</v>
      </c>
      <c r="C292">
        <v>74115.760958530693</v>
      </c>
      <c r="D292">
        <v>389927.66339217499</v>
      </c>
      <c r="E292">
        <v>5595718.0878794696</v>
      </c>
      <c r="F292">
        <v>9150473.5298327897</v>
      </c>
      <c r="G292" s="1">
        <f t="shared" si="25"/>
        <v>1.3071945833777878</v>
      </c>
      <c r="H292" s="3">
        <f t="shared" si="26"/>
        <v>1.3071945833777878E-2</v>
      </c>
      <c r="K292">
        <v>3711870.0201161099</v>
      </c>
      <c r="L292">
        <v>49587.447712241003</v>
      </c>
      <c r="M292">
        <v>456381.13544080697</v>
      </c>
      <c r="N292">
        <v>23772869.6221404</v>
      </c>
      <c r="O292">
        <v>27990708.225409601</v>
      </c>
      <c r="P292" s="1">
        <f t="shared" si="27"/>
        <v>0.20815421166187764</v>
      </c>
      <c r="Q292" s="3">
        <f t="shared" si="28"/>
        <v>2.0815421166187763E-3</v>
      </c>
      <c r="T292">
        <f t="shared" si="24"/>
        <v>6.2799333866046094</v>
      </c>
    </row>
    <row r="293" spans="1:20" x14ac:dyDescent="0.25">
      <c r="A293" t="s">
        <v>308</v>
      </c>
      <c r="B293">
        <v>2595094.4991309498</v>
      </c>
      <c r="C293">
        <v>61232.063208554297</v>
      </c>
      <c r="D293">
        <v>359818.69371689099</v>
      </c>
      <c r="E293">
        <v>6564213.4658554904</v>
      </c>
      <c r="F293">
        <v>9580358.7219118904</v>
      </c>
      <c r="G293" s="1">
        <f t="shared" si="25"/>
        <v>0.92419540602885852</v>
      </c>
      <c r="H293" s="3">
        <f t="shared" si="26"/>
        <v>9.241954060288585E-3</v>
      </c>
      <c r="K293">
        <v>849607.17590658797</v>
      </c>
      <c r="L293">
        <v>21709.207357084699</v>
      </c>
      <c r="M293">
        <v>176947.28877091999</v>
      </c>
      <c r="N293">
        <v>12448198.217860799</v>
      </c>
      <c r="O293">
        <v>13496461.889895299</v>
      </c>
      <c r="P293" s="1">
        <f t="shared" si="27"/>
        <v>0.17409277083470712</v>
      </c>
      <c r="Q293" s="3">
        <f t="shared" si="28"/>
        <v>1.7409277083470713E-3</v>
      </c>
      <c r="T293">
        <f t="shared" si="24"/>
        <v>5.3086374672406036</v>
      </c>
    </row>
    <row r="294" spans="1:20" x14ac:dyDescent="0.25">
      <c r="A294" t="s">
        <v>309</v>
      </c>
      <c r="B294">
        <v>6106416.93629626</v>
      </c>
      <c r="C294">
        <v>57064.095094339697</v>
      </c>
      <c r="D294">
        <v>1322671.5791046901</v>
      </c>
      <c r="E294">
        <v>8771880.3565675393</v>
      </c>
      <c r="F294">
        <v>16258032.967062799</v>
      </c>
      <c r="G294" s="1">
        <f t="shared" si="25"/>
        <v>0.64632975557569028</v>
      </c>
      <c r="H294" s="3">
        <f t="shared" si="26"/>
        <v>6.463297555756903E-3</v>
      </c>
      <c r="K294">
        <v>1766327.9734223899</v>
      </c>
      <c r="L294">
        <v>9913.1525408682101</v>
      </c>
      <c r="M294">
        <v>329847.66977271601</v>
      </c>
      <c r="N294">
        <v>24090247.039772399</v>
      </c>
      <c r="O294">
        <v>26196335.835508399</v>
      </c>
      <c r="P294" s="1">
        <f t="shared" si="27"/>
        <v>4.1133139621329175E-2</v>
      </c>
      <c r="Q294" s="3">
        <f t="shared" si="28"/>
        <v>4.1133139621329175E-4</v>
      </c>
      <c r="T294">
        <f t="shared" si="24"/>
        <v>15.713115058217985</v>
      </c>
    </row>
    <row r="295" spans="1:20" x14ac:dyDescent="0.25">
      <c r="A295" t="s">
        <v>310</v>
      </c>
      <c r="B295">
        <v>4303019.2479837602</v>
      </c>
      <c r="C295">
        <v>98420.457072121499</v>
      </c>
      <c r="D295">
        <v>240705.347113764</v>
      </c>
      <c r="E295">
        <v>5799039.1048039002</v>
      </c>
      <c r="F295">
        <v>10441184.1569735</v>
      </c>
      <c r="G295" s="1">
        <f t="shared" si="25"/>
        <v>1.6688619233331936</v>
      </c>
      <c r="H295" s="3">
        <f t="shared" si="26"/>
        <v>1.6688619233331935E-2</v>
      </c>
      <c r="I295" s="1"/>
      <c r="J295" s="1"/>
      <c r="K295">
        <v>722339.54199665505</v>
      </c>
      <c r="L295">
        <v>36046.768741790002</v>
      </c>
      <c r="M295">
        <v>117469.029231737</v>
      </c>
      <c r="N295">
        <v>6525463.6071482701</v>
      </c>
      <c r="O295">
        <v>7401318.9471184602</v>
      </c>
      <c r="P295" s="1">
        <f t="shared" si="27"/>
        <v>0.54936693957296834</v>
      </c>
      <c r="Q295" s="3">
        <f t="shared" si="28"/>
        <v>5.4936693957296839E-3</v>
      </c>
      <c r="T295">
        <f t="shared" ref="T295:T358" si="29">H295/Q295</f>
        <v>3.0377909610476856</v>
      </c>
    </row>
    <row r="296" spans="1:20" x14ac:dyDescent="0.25">
      <c r="A296" t="s">
        <v>311</v>
      </c>
      <c r="B296">
        <v>4132259.2889841199</v>
      </c>
      <c r="C296">
        <v>101757.573580656</v>
      </c>
      <c r="D296">
        <v>1622184.8835601099</v>
      </c>
      <c r="E296">
        <v>5786907.3298891699</v>
      </c>
      <c r="F296">
        <v>11643109.076014001</v>
      </c>
      <c r="G296" s="1">
        <f t="shared" si="25"/>
        <v>1.7280245225143744</v>
      </c>
      <c r="H296" s="3">
        <f t="shared" si="26"/>
        <v>1.7280245225143744E-2</v>
      </c>
      <c r="K296">
        <v>5406448.8434962202</v>
      </c>
      <c r="L296">
        <v>38320.494846056201</v>
      </c>
      <c r="M296">
        <v>676748.41766566504</v>
      </c>
      <c r="N296">
        <v>21200470.313983198</v>
      </c>
      <c r="O296">
        <v>27321988.069991101</v>
      </c>
      <c r="P296" s="1">
        <f t="shared" si="27"/>
        <v>0.18042691408837572</v>
      </c>
      <c r="Q296" s="3">
        <f t="shared" si="28"/>
        <v>1.8042691408837572E-3</v>
      </c>
      <c r="T296">
        <f t="shared" si="29"/>
        <v>9.5774210363536056</v>
      </c>
    </row>
    <row r="297" spans="1:20" x14ac:dyDescent="0.25">
      <c r="A297" t="s">
        <v>312</v>
      </c>
      <c r="B297">
        <v>6797140.8074611798</v>
      </c>
      <c r="C297">
        <v>162336.62315690101</v>
      </c>
      <c r="D297">
        <v>1202070.60808324</v>
      </c>
      <c r="E297">
        <v>13726393.984976601</v>
      </c>
      <c r="F297">
        <v>21887942.023678001</v>
      </c>
      <c r="G297" s="1">
        <f t="shared" si="25"/>
        <v>1.1688370070468042</v>
      </c>
      <c r="H297" s="3">
        <f t="shared" si="26"/>
        <v>1.1688370070468041E-2</v>
      </c>
      <c r="K297">
        <v>1467678.8955065401</v>
      </c>
      <c r="L297">
        <v>23747.4539086777</v>
      </c>
      <c r="M297">
        <v>140786.56792447899</v>
      </c>
      <c r="N297">
        <v>10149045.945881801</v>
      </c>
      <c r="O297">
        <v>11781258.8632215</v>
      </c>
      <c r="P297" s="1">
        <f t="shared" si="27"/>
        <v>0.23344083552475181</v>
      </c>
      <c r="Q297" s="3">
        <f t="shared" si="28"/>
        <v>2.3344083552475181E-3</v>
      </c>
      <c r="T297">
        <f t="shared" si="29"/>
        <v>5.0069946177984441</v>
      </c>
    </row>
    <row r="298" spans="1:20" x14ac:dyDescent="0.25">
      <c r="A298" t="s">
        <v>313</v>
      </c>
      <c r="B298">
        <v>7982685.3619536096</v>
      </c>
      <c r="C298">
        <v>554838.49130732706</v>
      </c>
      <c r="D298">
        <v>1029212.65307131</v>
      </c>
      <c r="E298">
        <v>7781428.5765899699</v>
      </c>
      <c r="F298">
        <v>17348165.082922202</v>
      </c>
      <c r="G298" s="1">
        <f t="shared" si="25"/>
        <v>6.6557187622262326</v>
      </c>
      <c r="H298" s="3">
        <f t="shared" si="26"/>
        <v>6.6557187622262329E-2</v>
      </c>
      <c r="K298">
        <v>2120217.2273386898</v>
      </c>
      <c r="L298">
        <v>96702.473882808001</v>
      </c>
      <c r="M298">
        <v>213507.06107156401</v>
      </c>
      <c r="N298">
        <v>15912444.916979101</v>
      </c>
      <c r="O298">
        <v>18342871.6792721</v>
      </c>
      <c r="P298" s="1">
        <f t="shared" si="27"/>
        <v>0.60404512196574689</v>
      </c>
      <c r="Q298" s="3">
        <f t="shared" si="28"/>
        <v>6.0404512196574689E-3</v>
      </c>
      <c r="T298">
        <f t="shared" si="29"/>
        <v>11.018578778629147</v>
      </c>
    </row>
    <row r="299" spans="1:20" x14ac:dyDescent="0.25">
      <c r="A299" t="s">
        <v>314</v>
      </c>
      <c r="B299">
        <v>2767794.9543104498</v>
      </c>
      <c r="C299">
        <v>32636.676357992699</v>
      </c>
      <c r="D299">
        <v>1682254.98058178</v>
      </c>
      <c r="E299">
        <v>3328158.7189166802</v>
      </c>
      <c r="F299">
        <v>7810845.3301669201</v>
      </c>
      <c r="G299" s="1">
        <f t="shared" si="25"/>
        <v>0.97109977012823623</v>
      </c>
      <c r="H299" s="3">
        <f t="shared" si="26"/>
        <v>9.7109977012823628E-3</v>
      </c>
      <c r="I299" s="1"/>
      <c r="J299" s="1"/>
      <c r="K299">
        <v>3114602.7626184002</v>
      </c>
      <c r="L299">
        <v>25912.073100666199</v>
      </c>
      <c r="M299">
        <v>580667.54774318903</v>
      </c>
      <c r="N299">
        <v>25248695.119325802</v>
      </c>
      <c r="O299">
        <v>28969877.502788</v>
      </c>
      <c r="P299" s="1">
        <f t="shared" si="27"/>
        <v>0.10252215950731272</v>
      </c>
      <c r="Q299" s="3">
        <f t="shared" si="28"/>
        <v>1.0252215950731273E-3</v>
      </c>
      <c r="T299">
        <f t="shared" si="29"/>
        <v>9.47209632332188</v>
      </c>
    </row>
    <row r="300" spans="1:20" x14ac:dyDescent="0.25">
      <c r="A300" t="s">
        <v>315</v>
      </c>
      <c r="B300">
        <v>3480585.3593748002</v>
      </c>
      <c r="C300">
        <v>85145.252623014894</v>
      </c>
      <c r="D300">
        <v>887706.82696182095</v>
      </c>
      <c r="E300">
        <v>5796430.5507582203</v>
      </c>
      <c r="F300">
        <v>10249867.9897178</v>
      </c>
      <c r="G300" s="1">
        <f t="shared" si="25"/>
        <v>1.4476605499850241</v>
      </c>
      <c r="H300" s="3">
        <f t="shared" si="26"/>
        <v>1.4476605499850241E-2</v>
      </c>
      <c r="K300">
        <v>1495642.35156427</v>
      </c>
      <c r="L300">
        <v>30168.592540768899</v>
      </c>
      <c r="M300">
        <v>357132.67911665799</v>
      </c>
      <c r="N300">
        <v>15367827.107045401</v>
      </c>
      <c r="O300">
        <v>17250770.7302671</v>
      </c>
      <c r="P300" s="1">
        <f t="shared" si="27"/>
        <v>0.19592545113894075</v>
      </c>
      <c r="Q300" s="3">
        <f t="shared" si="28"/>
        <v>1.9592545113894075E-3</v>
      </c>
      <c r="T300">
        <f t="shared" si="29"/>
        <v>7.3888335668979224</v>
      </c>
    </row>
    <row r="301" spans="1:20" x14ac:dyDescent="0.25">
      <c r="A301" t="s">
        <v>316</v>
      </c>
      <c r="B301">
        <v>4018927.3184636598</v>
      </c>
      <c r="C301">
        <v>24658.1718247711</v>
      </c>
      <c r="D301">
        <v>196908.25624760301</v>
      </c>
      <c r="E301">
        <v>8896446.1064245198</v>
      </c>
      <c r="F301">
        <v>13136939.852960501</v>
      </c>
      <c r="G301" s="1">
        <f t="shared" si="25"/>
        <v>0.27640268576268795</v>
      </c>
      <c r="H301" s="3">
        <f t="shared" si="26"/>
        <v>2.7640268576268794E-3</v>
      </c>
      <c r="K301">
        <v>930985.67553584196</v>
      </c>
      <c r="L301">
        <v>6050.3622590731502</v>
      </c>
      <c r="M301">
        <v>241669.518895032</v>
      </c>
      <c r="N301">
        <v>13168886.1543887</v>
      </c>
      <c r="O301">
        <v>14347591.711078599</v>
      </c>
      <c r="P301" s="1">
        <f t="shared" si="27"/>
        <v>4.5923274479751364E-2</v>
      </c>
      <c r="Q301" s="3">
        <f t="shared" si="28"/>
        <v>4.5923274479751366E-4</v>
      </c>
      <c r="T301">
        <f t="shared" si="29"/>
        <v>6.0187930606856064</v>
      </c>
    </row>
    <row r="302" spans="1:20" x14ac:dyDescent="0.25">
      <c r="A302" t="s">
        <v>317</v>
      </c>
      <c r="B302">
        <v>6257859.7837835904</v>
      </c>
      <c r="C302">
        <v>135758.88298659201</v>
      </c>
      <c r="D302">
        <v>3087615.40383993</v>
      </c>
      <c r="E302">
        <v>8463524.0780622698</v>
      </c>
      <c r="F302">
        <v>17944758.148672301</v>
      </c>
      <c r="G302" s="1">
        <f t="shared" si="25"/>
        <v>1.5787232912502436</v>
      </c>
      <c r="H302" s="3">
        <f t="shared" si="26"/>
        <v>1.5787232912502436E-2</v>
      </c>
      <c r="I302" s="1"/>
      <c r="J302" s="1"/>
      <c r="K302">
        <v>1041470.80346112</v>
      </c>
      <c r="L302">
        <v>22928.739164615399</v>
      </c>
      <c r="M302">
        <v>135079.863851551</v>
      </c>
      <c r="N302">
        <v>8772891.9983249996</v>
      </c>
      <c r="O302">
        <v>9972371.4048022907</v>
      </c>
      <c r="P302" s="1">
        <f t="shared" si="27"/>
        <v>0.26067765418283656</v>
      </c>
      <c r="Q302" s="3">
        <f t="shared" si="28"/>
        <v>2.6067765418283655E-3</v>
      </c>
      <c r="T302">
        <f t="shared" si="29"/>
        <v>6.0562279348384189</v>
      </c>
    </row>
    <row r="303" spans="1:20" x14ac:dyDescent="0.25">
      <c r="A303" t="s">
        <v>320</v>
      </c>
      <c r="B303">
        <v>3809837.7286470402</v>
      </c>
      <c r="C303">
        <v>72963.416140531801</v>
      </c>
      <c r="D303">
        <v>2256077.8523782301</v>
      </c>
      <c r="E303">
        <v>12431503.853860499</v>
      </c>
      <c r="F303">
        <v>18570382.8510263</v>
      </c>
      <c r="G303" s="1">
        <f t="shared" ref="G303:G366" si="30">(C303/(C303+E303))*100</f>
        <v>0.58349879739039678</v>
      </c>
      <c r="H303" s="3">
        <f t="shared" ref="H303:H366" si="31">(C303/(C303+E303))</f>
        <v>5.8349879739039677E-3</v>
      </c>
      <c r="K303">
        <v>1298562.22930158</v>
      </c>
      <c r="L303">
        <v>17134.565536456601</v>
      </c>
      <c r="M303">
        <v>251202.49695663599</v>
      </c>
      <c r="N303">
        <v>21237300.357412599</v>
      </c>
      <c r="O303">
        <v>22804199.649207201</v>
      </c>
      <c r="P303" s="1">
        <f t="shared" ref="P303:P366" si="32">(L303/(L303+N303))*100</f>
        <v>8.0616424753574098E-2</v>
      </c>
      <c r="Q303" s="3">
        <f t="shared" ref="Q303:Q366" si="33">(L303/(L303+N303))</f>
        <v>8.0616424753574098E-4</v>
      </c>
      <c r="T303">
        <f t="shared" si="29"/>
        <v>7.2379642135460438</v>
      </c>
    </row>
    <row r="304" spans="1:20" x14ac:dyDescent="0.25">
      <c r="A304" t="s">
        <v>321</v>
      </c>
      <c r="B304">
        <v>1210254.06402467</v>
      </c>
      <c r="C304">
        <v>22248.532058137</v>
      </c>
      <c r="D304">
        <v>186930.91277717301</v>
      </c>
      <c r="E304">
        <v>8125206.17935667</v>
      </c>
      <c r="F304">
        <v>9544639.6882166509</v>
      </c>
      <c r="G304" s="1">
        <f t="shared" si="30"/>
        <v>0.27307340569768612</v>
      </c>
      <c r="H304" s="3">
        <f t="shared" si="31"/>
        <v>2.7307340569768614E-3</v>
      </c>
      <c r="K304">
        <v>803378.99298681703</v>
      </c>
      <c r="L304">
        <v>2707.5768703640201</v>
      </c>
      <c r="M304">
        <v>87377.356220679794</v>
      </c>
      <c r="N304">
        <v>8046976.7645495003</v>
      </c>
      <c r="O304">
        <v>8940440.6906273607</v>
      </c>
      <c r="P304" s="1">
        <f t="shared" si="32"/>
        <v>3.3635814219846009E-2</v>
      </c>
      <c r="Q304" s="3">
        <f t="shared" si="33"/>
        <v>3.3635814219846007E-4</v>
      </c>
      <c r="T304">
        <f t="shared" si="29"/>
        <v>8.1185311558941162</v>
      </c>
    </row>
    <row r="305" spans="1:21" x14ac:dyDescent="0.25">
      <c r="A305" t="s">
        <v>322</v>
      </c>
      <c r="B305">
        <v>5561701.78154903</v>
      </c>
      <c r="C305">
        <v>15617.414492494399</v>
      </c>
      <c r="D305">
        <v>2100848.9613163699</v>
      </c>
      <c r="E305">
        <v>3322538.4283825401</v>
      </c>
      <c r="F305">
        <v>11000706.5857404</v>
      </c>
      <c r="G305" s="1">
        <f t="shared" si="30"/>
        <v>0.46784557784587061</v>
      </c>
      <c r="H305" s="3">
        <f t="shared" si="31"/>
        <v>4.6784557784587061E-3</v>
      </c>
      <c r="K305">
        <v>2652769.1425959198</v>
      </c>
      <c r="L305">
        <v>22938.419170589201</v>
      </c>
      <c r="M305">
        <v>1145697.75432988</v>
      </c>
      <c r="N305">
        <v>20520195.4854827</v>
      </c>
      <c r="O305">
        <v>24341600.801579099</v>
      </c>
      <c r="P305" s="1">
        <f t="shared" si="32"/>
        <v>0.11165978509926058</v>
      </c>
      <c r="Q305" s="3">
        <f t="shared" si="33"/>
        <v>1.1165978509926058E-3</v>
      </c>
      <c r="T305">
        <f t="shared" si="29"/>
        <v>4.1899200990757484</v>
      </c>
    </row>
    <row r="306" spans="1:21" x14ac:dyDescent="0.25">
      <c r="A306" t="s">
        <v>323</v>
      </c>
      <c r="B306">
        <v>2930101.5977932499</v>
      </c>
      <c r="C306">
        <v>19018.414869559601</v>
      </c>
      <c r="D306">
        <v>889216.87692986103</v>
      </c>
      <c r="E306">
        <v>5341247.1733621703</v>
      </c>
      <c r="F306">
        <v>9179584.0629548505</v>
      </c>
      <c r="G306" s="1">
        <f t="shared" si="30"/>
        <v>0.35480359240620174</v>
      </c>
      <c r="H306" s="3">
        <f t="shared" si="31"/>
        <v>3.5480359240620176E-3</v>
      </c>
      <c r="I306" s="1"/>
      <c r="J306" s="1"/>
      <c r="K306">
        <v>5050233.9653645102</v>
      </c>
      <c r="L306">
        <v>58487.365138231697</v>
      </c>
      <c r="M306">
        <v>354038.65820663702</v>
      </c>
      <c r="N306">
        <v>19148075.831227601</v>
      </c>
      <c r="O306">
        <v>24610835.819936998</v>
      </c>
      <c r="P306" s="1">
        <f t="shared" si="32"/>
        <v>0.30451759921992899</v>
      </c>
      <c r="Q306" s="3">
        <f t="shared" si="33"/>
        <v>3.04517599219929E-3</v>
      </c>
      <c r="T306">
        <f t="shared" si="29"/>
        <v>1.1651332905391625</v>
      </c>
    </row>
    <row r="307" spans="1:21" x14ac:dyDescent="0.25">
      <c r="A307" t="s">
        <v>324</v>
      </c>
      <c r="B307">
        <v>1673555.12616977</v>
      </c>
      <c r="C307">
        <v>2746.4343320390899</v>
      </c>
      <c r="D307">
        <v>526450.52609718801</v>
      </c>
      <c r="E307">
        <v>5175526.1332892096</v>
      </c>
      <c r="F307">
        <v>7378278.2198882103</v>
      </c>
      <c r="G307" s="1">
        <f t="shared" si="30"/>
        <v>5.303765485834061E-2</v>
      </c>
      <c r="H307" s="3">
        <f t="shared" si="31"/>
        <v>5.3037654858340607E-4</v>
      </c>
      <c r="K307">
        <v>1050992.76013969</v>
      </c>
      <c r="L307">
        <v>12853.9443173983</v>
      </c>
      <c r="M307">
        <v>276548.08116173203</v>
      </c>
      <c r="N307">
        <v>14544291.4418901</v>
      </c>
      <c r="O307">
        <v>15884686.227508901</v>
      </c>
      <c r="P307" s="1">
        <f t="shared" si="32"/>
        <v>8.8299896555110752E-2</v>
      </c>
      <c r="Q307" s="3">
        <f t="shared" si="33"/>
        <v>8.8299896555110757E-4</v>
      </c>
      <c r="T307">
        <f t="shared" si="29"/>
        <v>0.60065364657860199</v>
      </c>
      <c r="U307" t="s">
        <v>217</v>
      </c>
    </row>
    <row r="308" spans="1:21" x14ac:dyDescent="0.25">
      <c r="A308" t="s">
        <v>325</v>
      </c>
      <c r="B308">
        <v>557518.04394115298</v>
      </c>
      <c r="C308">
        <v>5506.25807384568</v>
      </c>
      <c r="D308">
        <v>66322.896720047196</v>
      </c>
      <c r="E308">
        <v>2694421.1262749098</v>
      </c>
      <c r="F308">
        <v>3323768.3250099602</v>
      </c>
      <c r="G308" s="1">
        <f t="shared" si="30"/>
        <v>0.20394096914476217</v>
      </c>
      <c r="H308" s="3">
        <f t="shared" si="31"/>
        <v>2.0394096914476217E-3</v>
      </c>
      <c r="K308">
        <v>2138279.34317595</v>
      </c>
      <c r="L308">
        <v>8703.36181317103</v>
      </c>
      <c r="M308">
        <v>1243815.47509053</v>
      </c>
      <c r="N308">
        <v>22373233.576688301</v>
      </c>
      <c r="O308">
        <v>25764031.756767899</v>
      </c>
      <c r="P308" s="1">
        <f t="shared" si="32"/>
        <v>3.888565067931847E-2</v>
      </c>
      <c r="Q308" s="3">
        <f t="shared" si="33"/>
        <v>3.8885650679318471E-4</v>
      </c>
      <c r="T308">
        <f t="shared" si="29"/>
        <v>5.2446330608331362</v>
      </c>
    </row>
    <row r="309" spans="1:21" x14ac:dyDescent="0.25">
      <c r="A309" t="s">
        <v>326</v>
      </c>
      <c r="B309">
        <v>1798963.96827131</v>
      </c>
      <c r="C309">
        <v>4840.6234877835705</v>
      </c>
      <c r="D309">
        <v>726188.27062852599</v>
      </c>
      <c r="E309">
        <v>6519691.8324376503</v>
      </c>
      <c r="F309">
        <v>9049684.6948252805</v>
      </c>
      <c r="G309" s="1">
        <f t="shared" si="30"/>
        <v>7.4191116688942599E-2</v>
      </c>
      <c r="H309" s="3">
        <f t="shared" si="31"/>
        <v>7.4191116688942594E-4</v>
      </c>
      <c r="I309" s="1"/>
      <c r="J309" s="1"/>
      <c r="K309">
        <v>1343729.1418548301</v>
      </c>
      <c r="L309">
        <v>9032.5912810937698</v>
      </c>
      <c r="M309">
        <v>614573.33215964795</v>
      </c>
      <c r="N309">
        <v>11358715.5457837</v>
      </c>
      <c r="O309">
        <v>13326050.6110793</v>
      </c>
      <c r="P309" s="1">
        <f t="shared" si="32"/>
        <v>7.9458052484843555E-2</v>
      </c>
      <c r="Q309" s="3">
        <f t="shared" si="33"/>
        <v>7.9458052484843557E-4</v>
      </c>
      <c r="T309">
        <f t="shared" si="29"/>
        <v>0.93371426015122105</v>
      </c>
      <c r="U309" t="s">
        <v>217</v>
      </c>
    </row>
    <row r="310" spans="1:21" x14ac:dyDescent="0.25">
      <c r="A310" t="s">
        <v>327</v>
      </c>
      <c r="B310">
        <v>5583443.9435724001</v>
      </c>
      <c r="C310">
        <v>14623.760789395399</v>
      </c>
      <c r="D310">
        <v>1343263.9135398101</v>
      </c>
      <c r="E310">
        <v>5939574.2437034799</v>
      </c>
      <c r="F310">
        <v>12880905.861605</v>
      </c>
      <c r="G310" s="1">
        <f t="shared" si="30"/>
        <v>0.24560420695382834</v>
      </c>
      <c r="H310" s="3">
        <f t="shared" si="31"/>
        <v>2.4560420695382834E-3</v>
      </c>
      <c r="K310">
        <v>4718200.5120868003</v>
      </c>
      <c r="L310">
        <v>44128.798547881503</v>
      </c>
      <c r="M310">
        <v>370152.78493486799</v>
      </c>
      <c r="N310">
        <v>18208083.550712802</v>
      </c>
      <c r="O310">
        <v>23340565.646282401</v>
      </c>
      <c r="P310" s="1">
        <f t="shared" si="32"/>
        <v>0.24177232712104055</v>
      </c>
      <c r="Q310" s="3">
        <f t="shared" si="33"/>
        <v>2.4177232712104054E-3</v>
      </c>
      <c r="T310">
        <f t="shared" si="29"/>
        <v>1.015849124994646</v>
      </c>
    </row>
    <row r="311" spans="1:21" x14ac:dyDescent="0.25">
      <c r="A311" t="s">
        <v>328</v>
      </c>
      <c r="B311">
        <v>3082402.88553447</v>
      </c>
      <c r="C311">
        <v>30139.2868991178</v>
      </c>
      <c r="D311">
        <v>1850601.0467896699</v>
      </c>
      <c r="E311">
        <v>8689775.1842854805</v>
      </c>
      <c r="F311">
        <v>13652918.4035087</v>
      </c>
      <c r="G311" s="1">
        <f t="shared" si="30"/>
        <v>0.34563741420531829</v>
      </c>
      <c r="H311" s="3">
        <f t="shared" si="31"/>
        <v>3.4563741420531829E-3</v>
      </c>
      <c r="I311" s="1"/>
      <c r="J311" s="1"/>
      <c r="K311">
        <v>3172093.1372985402</v>
      </c>
      <c r="L311">
        <v>30757.572286496899</v>
      </c>
      <c r="M311">
        <v>1474973.84601283</v>
      </c>
      <c r="N311">
        <v>22816164.147447199</v>
      </c>
      <c r="O311">
        <v>27493988.7030451</v>
      </c>
      <c r="P311" s="1">
        <f t="shared" si="32"/>
        <v>0.13462457946765971</v>
      </c>
      <c r="Q311" s="3">
        <f t="shared" si="33"/>
        <v>1.3462457946765971E-3</v>
      </c>
      <c r="T311">
        <f t="shared" si="29"/>
        <v>2.5674168533863408</v>
      </c>
    </row>
    <row r="312" spans="1:21" x14ac:dyDescent="0.25">
      <c r="A312" t="s">
        <v>329</v>
      </c>
      <c r="B312">
        <v>1159540.8179609</v>
      </c>
      <c r="C312">
        <v>14560.5827252872</v>
      </c>
      <c r="D312">
        <v>247803.21333857399</v>
      </c>
      <c r="E312">
        <v>7076093.3715184601</v>
      </c>
      <c r="F312">
        <v>8497997.9855432305</v>
      </c>
      <c r="G312" s="1">
        <f t="shared" si="30"/>
        <v>0.20534893987560499</v>
      </c>
      <c r="H312" s="3">
        <f t="shared" si="31"/>
        <v>2.0534893987560498E-3</v>
      </c>
      <c r="K312">
        <v>2839551.7122030202</v>
      </c>
      <c r="L312">
        <v>24335.256053925401</v>
      </c>
      <c r="M312">
        <v>366521.70442524698</v>
      </c>
      <c r="N312">
        <v>18453826.4877293</v>
      </c>
      <c r="O312">
        <v>21684235.160411499</v>
      </c>
      <c r="P312" s="1">
        <f t="shared" si="32"/>
        <v>0.13169738630582523</v>
      </c>
      <c r="Q312" s="3">
        <f t="shared" si="33"/>
        <v>1.3169738630582522E-3</v>
      </c>
      <c r="T312">
        <f t="shared" si="29"/>
        <v>1.5592484075481003</v>
      </c>
    </row>
    <row r="313" spans="1:21" x14ac:dyDescent="0.25">
      <c r="A313" t="s">
        <v>330</v>
      </c>
      <c r="B313">
        <v>2325332.8646698198</v>
      </c>
      <c r="C313">
        <v>44307.556506590598</v>
      </c>
      <c r="D313">
        <v>178697.58890222499</v>
      </c>
      <c r="E313">
        <v>5842193.5374448402</v>
      </c>
      <c r="F313">
        <v>8390531.5475234799</v>
      </c>
      <c r="G313" s="1">
        <f t="shared" si="30"/>
        <v>0.75269766877505606</v>
      </c>
      <c r="H313" s="3">
        <f t="shared" si="31"/>
        <v>7.5269766877505608E-3</v>
      </c>
      <c r="K313">
        <v>2195815.0114919702</v>
      </c>
      <c r="L313">
        <v>46139.3306926839</v>
      </c>
      <c r="M313">
        <v>291102.68695163698</v>
      </c>
      <c r="N313">
        <v>15820353.410841901</v>
      </c>
      <c r="O313">
        <v>18353410.439978201</v>
      </c>
      <c r="P313" s="1">
        <f t="shared" si="32"/>
        <v>0.29079728862764009</v>
      </c>
      <c r="Q313" s="3">
        <f t="shared" si="33"/>
        <v>2.9079728862764012E-3</v>
      </c>
      <c r="T313">
        <f t="shared" si="29"/>
        <v>2.5883930085017739</v>
      </c>
    </row>
    <row r="314" spans="1:21" x14ac:dyDescent="0.25">
      <c r="A314" t="s">
        <v>331</v>
      </c>
      <c r="B314">
        <v>1002941.4583621999</v>
      </c>
      <c r="C314">
        <v>25172.474743466399</v>
      </c>
      <c r="D314">
        <v>508823.38032341801</v>
      </c>
      <c r="E314">
        <v>5716894.5862413999</v>
      </c>
      <c r="F314">
        <v>7253831.8996704901</v>
      </c>
      <c r="G314" s="1">
        <f t="shared" si="30"/>
        <v>0.43838698636077705</v>
      </c>
      <c r="H314" s="3">
        <f t="shared" si="31"/>
        <v>4.3838698636077707E-3</v>
      </c>
      <c r="I314" s="5"/>
      <c r="J314" s="1"/>
      <c r="K314">
        <v>963108.62567447801</v>
      </c>
      <c r="L314">
        <v>17917.0005533045</v>
      </c>
      <c r="M314">
        <v>198135.30245770499</v>
      </c>
      <c r="N314">
        <v>15504599.722060099</v>
      </c>
      <c r="O314">
        <v>16683760.6507456</v>
      </c>
      <c r="P314" s="1">
        <f t="shared" si="32"/>
        <v>0.1154258737386495</v>
      </c>
      <c r="Q314" s="3">
        <f t="shared" si="33"/>
        <v>1.154258737386495E-3</v>
      </c>
      <c r="T314">
        <f t="shared" si="29"/>
        <v>3.7979958233054849</v>
      </c>
    </row>
    <row r="315" spans="1:21" x14ac:dyDescent="0.25">
      <c r="A315" t="s">
        <v>332</v>
      </c>
      <c r="B315">
        <v>983950.64180752204</v>
      </c>
      <c r="C315">
        <v>11542.09262372</v>
      </c>
      <c r="D315">
        <v>186128.69424675</v>
      </c>
      <c r="E315">
        <v>3502976.52324337</v>
      </c>
      <c r="F315">
        <v>4684597.9519213596</v>
      </c>
      <c r="G315" s="1">
        <f t="shared" si="30"/>
        <v>0.32841176517348947</v>
      </c>
      <c r="H315" s="3">
        <f t="shared" si="31"/>
        <v>3.2841176517348948E-3</v>
      </c>
      <c r="K315">
        <v>372876.88620325603</v>
      </c>
      <c r="L315">
        <v>10479.228906002199</v>
      </c>
      <c r="M315">
        <v>139999.19419640399</v>
      </c>
      <c r="N315">
        <v>6345575.77609568</v>
      </c>
      <c r="O315">
        <v>6868931.0854013404</v>
      </c>
      <c r="P315" s="1">
        <f t="shared" si="32"/>
        <v>0.16487001603598342</v>
      </c>
      <c r="Q315" s="3">
        <f t="shared" si="33"/>
        <v>1.6487001603598343E-3</v>
      </c>
      <c r="T315">
        <f t="shared" si="29"/>
        <v>1.9919435508625931</v>
      </c>
    </row>
    <row r="316" spans="1:21" x14ac:dyDescent="0.25">
      <c r="A316" t="s">
        <v>333</v>
      </c>
      <c r="B316">
        <v>2788534.0013475302</v>
      </c>
      <c r="C316">
        <v>2251869.8345787101</v>
      </c>
      <c r="D316">
        <v>1298383.3996824201</v>
      </c>
      <c r="E316">
        <v>7078039.2252168404</v>
      </c>
      <c r="F316">
        <v>13416826.460825499</v>
      </c>
      <c r="G316" s="1">
        <f t="shared" si="30"/>
        <v>24.136031982160137</v>
      </c>
      <c r="H316" s="3">
        <f t="shared" si="31"/>
        <v>0.24136031982160136</v>
      </c>
      <c r="K316">
        <v>1919298.5141383901</v>
      </c>
      <c r="L316">
        <v>231466.296149431</v>
      </c>
      <c r="M316">
        <v>435318.63024964201</v>
      </c>
      <c r="N316">
        <v>21469791.7210868</v>
      </c>
      <c r="O316">
        <v>24055875.161624201</v>
      </c>
      <c r="P316" s="1">
        <f t="shared" si="32"/>
        <v>1.0666031248768564</v>
      </c>
      <c r="Q316" s="3">
        <f t="shared" si="33"/>
        <v>1.0666031248768564E-2</v>
      </c>
      <c r="T316">
        <f t="shared" si="29"/>
        <v>22.628877995221266</v>
      </c>
    </row>
    <row r="317" spans="1:21" x14ac:dyDescent="0.25">
      <c r="A317" t="s">
        <v>334</v>
      </c>
      <c r="B317">
        <v>2779919.6016575098</v>
      </c>
      <c r="C317">
        <v>15261.4424519853</v>
      </c>
      <c r="D317">
        <v>1499411.2122883699</v>
      </c>
      <c r="E317">
        <v>4143270.2685835999</v>
      </c>
      <c r="F317">
        <v>8437862.5249814801</v>
      </c>
      <c r="G317" s="1">
        <f t="shared" si="30"/>
        <v>0.36699112841885229</v>
      </c>
      <c r="H317" s="3">
        <f t="shared" si="31"/>
        <v>3.6699112841885231E-3</v>
      </c>
      <c r="I317" s="1"/>
      <c r="J317" s="1"/>
      <c r="K317">
        <v>1995723.91297738</v>
      </c>
      <c r="L317">
        <v>14733.0496259256</v>
      </c>
      <c r="M317">
        <v>291486.99147369998</v>
      </c>
      <c r="N317">
        <v>14219895.163091101</v>
      </c>
      <c r="O317">
        <v>16521839.117168101</v>
      </c>
      <c r="P317" s="1">
        <f t="shared" si="32"/>
        <v>0.10350147124154105</v>
      </c>
      <c r="Q317" s="3">
        <f t="shared" si="33"/>
        <v>1.0350147124154104E-3</v>
      </c>
      <c r="T317">
        <f t="shared" si="29"/>
        <v>3.545757601478015</v>
      </c>
    </row>
    <row r="318" spans="1:21" x14ac:dyDescent="0.25">
      <c r="A318" t="s">
        <v>335</v>
      </c>
      <c r="B318">
        <v>1022275.47620248</v>
      </c>
      <c r="C318">
        <v>12324.2699331154</v>
      </c>
      <c r="D318">
        <v>741844.28140861797</v>
      </c>
      <c r="E318">
        <v>5026759.4732575901</v>
      </c>
      <c r="F318">
        <v>6803203.5008018203</v>
      </c>
      <c r="G318" s="1">
        <f t="shared" si="30"/>
        <v>0.24457362808802569</v>
      </c>
      <c r="H318" s="3">
        <f t="shared" si="31"/>
        <v>2.445736280880257E-3</v>
      </c>
      <c r="I318" s="1"/>
      <c r="J318" s="1"/>
      <c r="K318">
        <v>2121907.4284961</v>
      </c>
      <c r="L318">
        <v>26411.058659149199</v>
      </c>
      <c r="M318">
        <v>452664.87135175598</v>
      </c>
      <c r="N318">
        <v>24391798.818934001</v>
      </c>
      <c r="O318">
        <v>26992782.177441001</v>
      </c>
      <c r="P318" s="1">
        <f t="shared" si="32"/>
        <v>0.10816132219170066</v>
      </c>
      <c r="Q318" s="3">
        <f t="shared" si="33"/>
        <v>1.0816132219170066E-3</v>
      </c>
      <c r="T318">
        <f t="shared" si="29"/>
        <v>2.2611930321501941</v>
      </c>
    </row>
    <row r="319" spans="1:21" x14ac:dyDescent="0.25">
      <c r="A319" t="s">
        <v>336</v>
      </c>
      <c r="B319">
        <v>3430413.1074165301</v>
      </c>
      <c r="C319">
        <v>17894.9767352413</v>
      </c>
      <c r="D319">
        <v>552277.22084045305</v>
      </c>
      <c r="E319">
        <v>6196485.52849665</v>
      </c>
      <c r="F319">
        <v>10197070.8334888</v>
      </c>
      <c r="G319" s="1">
        <f t="shared" si="30"/>
        <v>0.28796075039459695</v>
      </c>
      <c r="H319" s="3">
        <f t="shared" si="31"/>
        <v>2.8796075039459693E-3</v>
      </c>
      <c r="K319">
        <v>1493703.37711142</v>
      </c>
      <c r="L319">
        <v>7642.8993767403299</v>
      </c>
      <c r="M319">
        <v>241323.45458957701</v>
      </c>
      <c r="N319">
        <v>14975765.730670201</v>
      </c>
      <c r="O319">
        <v>16718435.461748</v>
      </c>
      <c r="P319" s="1">
        <f t="shared" si="32"/>
        <v>5.1009083216309412E-2</v>
      </c>
      <c r="Q319" s="3">
        <f t="shared" si="33"/>
        <v>5.1009083216309412E-4</v>
      </c>
      <c r="T319">
        <f t="shared" si="29"/>
        <v>5.6452837855067681</v>
      </c>
    </row>
    <row r="320" spans="1:21" x14ac:dyDescent="0.25">
      <c r="A320" t="s">
        <v>337</v>
      </c>
      <c r="B320">
        <v>1282567.6474855801</v>
      </c>
      <c r="C320">
        <v>16649.8131355119</v>
      </c>
      <c r="D320">
        <v>291703.94872989401</v>
      </c>
      <c r="E320">
        <v>2449459.9681385499</v>
      </c>
      <c r="F320">
        <v>4040381.3774895398</v>
      </c>
      <c r="G320" s="1">
        <f t="shared" si="30"/>
        <v>0.67514484804930863</v>
      </c>
      <c r="H320" s="3">
        <f t="shared" si="31"/>
        <v>6.7514484804930865E-3</v>
      </c>
      <c r="K320">
        <v>3957495.5053720302</v>
      </c>
      <c r="L320">
        <v>8087.4338554197602</v>
      </c>
      <c r="M320">
        <v>450454.76060020301</v>
      </c>
      <c r="N320">
        <v>19721111.495600801</v>
      </c>
      <c r="O320">
        <v>24137149.195428401</v>
      </c>
      <c r="P320" s="1">
        <f t="shared" si="32"/>
        <v>4.0992205939720167E-2</v>
      </c>
      <c r="Q320" s="3">
        <f t="shared" si="33"/>
        <v>4.0992205939720169E-4</v>
      </c>
      <c r="T320">
        <f t="shared" si="29"/>
        <v>16.470078459356937</v>
      </c>
    </row>
    <row r="321" spans="1:20" x14ac:dyDescent="0.25">
      <c r="A321" t="s">
        <v>338</v>
      </c>
      <c r="B321">
        <v>989865.23947809602</v>
      </c>
      <c r="C321">
        <v>21273.070127254101</v>
      </c>
      <c r="D321">
        <v>204373.55386915401</v>
      </c>
      <c r="E321">
        <v>6159230.9980140999</v>
      </c>
      <c r="F321">
        <v>7374742.8614886096</v>
      </c>
      <c r="G321" s="1">
        <f t="shared" si="30"/>
        <v>0.34419636153805644</v>
      </c>
      <c r="H321" s="3">
        <f t="shared" si="31"/>
        <v>3.4419636153805644E-3</v>
      </c>
      <c r="I321" s="1"/>
      <c r="J321" s="1"/>
      <c r="K321">
        <v>1184362.0541703701</v>
      </c>
      <c r="L321">
        <v>10382.0550663873</v>
      </c>
      <c r="M321">
        <v>751353.71022743301</v>
      </c>
      <c r="N321">
        <v>20128190.7357581</v>
      </c>
      <c r="O321">
        <v>22074288.555222299</v>
      </c>
      <c r="P321" s="1">
        <f t="shared" si="32"/>
        <v>5.1553082605325234E-2</v>
      </c>
      <c r="Q321" s="3">
        <f t="shared" si="33"/>
        <v>5.1553082605325232E-4</v>
      </c>
      <c r="T321">
        <f t="shared" si="29"/>
        <v>6.676542781604728</v>
      </c>
    </row>
    <row r="322" spans="1:20" x14ac:dyDescent="0.25">
      <c r="A322" t="s">
        <v>339</v>
      </c>
      <c r="B322">
        <v>2005635.8499585199</v>
      </c>
      <c r="C322">
        <v>2847.2236616666</v>
      </c>
      <c r="D322">
        <v>877560.73352559295</v>
      </c>
      <c r="E322">
        <v>3671958.9217185499</v>
      </c>
      <c r="F322">
        <v>6558002.7288643299</v>
      </c>
      <c r="G322" s="1">
        <f t="shared" si="30"/>
        <v>7.7479560799308775E-2</v>
      </c>
      <c r="H322" s="3">
        <f t="shared" si="31"/>
        <v>7.7479560799308773E-4</v>
      </c>
      <c r="K322">
        <v>788634.796218873</v>
      </c>
      <c r="L322">
        <v>1128.44316624926</v>
      </c>
      <c r="M322">
        <v>177622.298985428</v>
      </c>
      <c r="N322">
        <v>10095186.180710699</v>
      </c>
      <c r="O322">
        <v>11062571.719081299</v>
      </c>
      <c r="P322" s="1">
        <f t="shared" si="32"/>
        <v>1.1176782898391314E-2</v>
      </c>
      <c r="Q322" s="3">
        <f t="shared" si="33"/>
        <v>1.1176782898391313E-4</v>
      </c>
      <c r="T322">
        <f t="shared" si="29"/>
        <v>6.9321880458517713</v>
      </c>
    </row>
    <row r="323" spans="1:20" x14ac:dyDescent="0.25">
      <c r="A323" t="s">
        <v>340</v>
      </c>
      <c r="B323">
        <v>1612470.7261644299</v>
      </c>
      <c r="C323">
        <v>6860.6006327656096</v>
      </c>
      <c r="D323">
        <v>500215.28370658198</v>
      </c>
      <c r="E323">
        <v>2844515.80258147</v>
      </c>
      <c r="F323">
        <v>4964062.4130852502</v>
      </c>
      <c r="G323" s="1">
        <f t="shared" si="30"/>
        <v>0.24060662861037727</v>
      </c>
      <c r="H323" s="3">
        <f t="shared" si="31"/>
        <v>2.4060662861037727E-3</v>
      </c>
      <c r="I323" s="1"/>
      <c r="J323" s="1"/>
      <c r="K323">
        <v>1631319.15747085</v>
      </c>
      <c r="L323">
        <v>4386.2657374144101</v>
      </c>
      <c r="M323">
        <v>277543.36355866602</v>
      </c>
      <c r="N323">
        <v>17966063.075845599</v>
      </c>
      <c r="O323">
        <v>19879311.862612501</v>
      </c>
      <c r="P323" s="1">
        <f t="shared" si="32"/>
        <v>2.44082140298225E-2</v>
      </c>
      <c r="Q323" s="3">
        <f t="shared" si="33"/>
        <v>2.4408214029822498E-4</v>
      </c>
      <c r="T323">
        <f t="shared" si="29"/>
        <v>9.8576089310098123</v>
      </c>
    </row>
    <row r="324" spans="1:20" x14ac:dyDescent="0.25">
      <c r="A324" t="s">
        <v>341</v>
      </c>
      <c r="B324">
        <v>4283637.1343835797</v>
      </c>
      <c r="C324">
        <v>21633.984975728301</v>
      </c>
      <c r="D324">
        <v>1444109.18991463</v>
      </c>
      <c r="E324">
        <v>10840339.21393</v>
      </c>
      <c r="F324">
        <v>16589719.523204001</v>
      </c>
      <c r="G324" s="1">
        <f t="shared" si="30"/>
        <v>0.19917177643107958</v>
      </c>
      <c r="H324" s="3">
        <f t="shared" si="31"/>
        <v>1.9917177643107957E-3</v>
      </c>
      <c r="K324">
        <v>2284956.9559945599</v>
      </c>
      <c r="L324">
        <v>6012.8144654607104</v>
      </c>
      <c r="M324">
        <v>141918.21261478099</v>
      </c>
      <c r="N324">
        <v>19317519.6572247</v>
      </c>
      <c r="O324">
        <v>21750407.640299499</v>
      </c>
      <c r="P324" s="1">
        <f t="shared" si="32"/>
        <v>3.111653872949862E-2</v>
      </c>
      <c r="Q324" s="3">
        <f t="shared" si="33"/>
        <v>3.111653872949862E-4</v>
      </c>
      <c r="T324">
        <f t="shared" si="29"/>
        <v>6.4008332727014983</v>
      </c>
    </row>
    <row r="325" spans="1:20" x14ac:dyDescent="0.25">
      <c r="A325" t="s">
        <v>342</v>
      </c>
      <c r="B325">
        <v>3161169.2274428601</v>
      </c>
      <c r="C325">
        <v>156695.14233094701</v>
      </c>
      <c r="D325">
        <v>1982879.43109112</v>
      </c>
      <c r="E325">
        <v>13598260.4860388</v>
      </c>
      <c r="F325">
        <v>18899004.286903702</v>
      </c>
      <c r="G325" s="1">
        <f t="shared" si="30"/>
        <v>1.1391904602568224</v>
      </c>
      <c r="H325" s="3">
        <f t="shared" si="31"/>
        <v>1.1391904602568224E-2</v>
      </c>
      <c r="K325">
        <v>1519816.1873540799</v>
      </c>
      <c r="L325">
        <v>6215.6221622451303</v>
      </c>
      <c r="M325">
        <v>386840.79099502799</v>
      </c>
      <c r="N325">
        <v>12488734.881714599</v>
      </c>
      <c r="O325">
        <v>14401607.482225901</v>
      </c>
      <c r="P325" s="1">
        <f t="shared" si="32"/>
        <v>4.9745072301939822E-2</v>
      </c>
      <c r="Q325" s="3">
        <f t="shared" si="33"/>
        <v>4.9745072301939823E-4</v>
      </c>
      <c r="T325">
        <f t="shared" si="29"/>
        <v>22.900568991883834</v>
      </c>
    </row>
    <row r="326" spans="1:20" x14ac:dyDescent="0.25">
      <c r="A326" t="s">
        <v>343</v>
      </c>
      <c r="B326">
        <v>2243058.4500493398</v>
      </c>
      <c r="C326">
        <v>79453.466387735796</v>
      </c>
      <c r="D326">
        <v>766709.55220416002</v>
      </c>
      <c r="E326">
        <v>5568424.7067440003</v>
      </c>
      <c r="F326">
        <v>8657646.1753852405</v>
      </c>
      <c r="G326" s="1">
        <f t="shared" si="30"/>
        <v>1.4067843524974446</v>
      </c>
      <c r="H326" s="3">
        <f t="shared" si="31"/>
        <v>1.4067843524974446E-2</v>
      </c>
      <c r="I326" s="1"/>
      <c r="J326" s="1"/>
      <c r="K326">
        <v>1333333.8730463299</v>
      </c>
      <c r="L326">
        <v>8614.6458281886898</v>
      </c>
      <c r="M326">
        <v>747410.41332679696</v>
      </c>
      <c r="N326">
        <v>16179898.550522599</v>
      </c>
      <c r="O326">
        <v>18269257.482723899</v>
      </c>
      <c r="P326" s="1">
        <f t="shared" si="32"/>
        <v>5.321455851875638E-2</v>
      </c>
      <c r="Q326" s="3">
        <f t="shared" si="33"/>
        <v>5.3214558518756381E-4</v>
      </c>
      <c r="T326">
        <f t="shared" si="29"/>
        <v>26.436080494806689</v>
      </c>
    </row>
    <row r="327" spans="1:20" x14ac:dyDescent="0.25">
      <c r="A327" t="s">
        <v>344</v>
      </c>
      <c r="B327">
        <v>1835632.7674523201</v>
      </c>
      <c r="C327">
        <v>2607.9712434025801</v>
      </c>
      <c r="D327">
        <v>440105.775991339</v>
      </c>
      <c r="E327">
        <v>4169873.9243215802</v>
      </c>
      <c r="F327">
        <v>6448220.4390086401</v>
      </c>
      <c r="G327" s="1">
        <f t="shared" si="30"/>
        <v>6.2504075719888599E-2</v>
      </c>
      <c r="H327" s="3">
        <f t="shared" si="31"/>
        <v>6.2504075719888605E-4</v>
      </c>
      <c r="K327">
        <v>1422487.36488777</v>
      </c>
      <c r="L327">
        <v>1809.91017823467</v>
      </c>
      <c r="M327">
        <v>124742.89653935</v>
      </c>
      <c r="N327">
        <v>12808974.8429206</v>
      </c>
      <c r="O327">
        <v>14358015.014526</v>
      </c>
      <c r="P327" s="1">
        <f t="shared" si="32"/>
        <v>1.4128019579728448E-2</v>
      </c>
      <c r="Q327" s="3">
        <f t="shared" si="33"/>
        <v>1.4128019579728448E-4</v>
      </c>
      <c r="T327">
        <f t="shared" si="29"/>
        <v>4.4241215385610317</v>
      </c>
    </row>
    <row r="328" spans="1:20" x14ac:dyDescent="0.25">
      <c r="A328" t="s">
        <v>345</v>
      </c>
      <c r="B328">
        <v>3957222.76572358</v>
      </c>
      <c r="C328">
        <v>228344.76263663301</v>
      </c>
      <c r="D328">
        <v>1115487.2996250801</v>
      </c>
      <c r="E328">
        <v>10490045.403236</v>
      </c>
      <c r="F328">
        <v>15791100.2312213</v>
      </c>
      <c r="G328" s="1">
        <f t="shared" si="30"/>
        <v>2.1304016657621121</v>
      </c>
      <c r="H328" s="3">
        <f t="shared" si="31"/>
        <v>2.1304016657621123E-2</v>
      </c>
      <c r="K328">
        <v>1343957.1773548401</v>
      </c>
      <c r="L328">
        <v>8275.8167911107994</v>
      </c>
      <c r="M328">
        <v>145473.62672881701</v>
      </c>
      <c r="N328">
        <v>12227626.8106695</v>
      </c>
      <c r="O328">
        <v>13725333.4315443</v>
      </c>
      <c r="P328" s="1">
        <f t="shared" si="32"/>
        <v>6.7635523451597845E-2</v>
      </c>
      <c r="Q328" s="3">
        <f t="shared" si="33"/>
        <v>6.7635523451597848E-4</v>
      </c>
      <c r="T328">
        <f t="shared" si="29"/>
        <v>31.49826536474869</v>
      </c>
    </row>
    <row r="329" spans="1:20" x14ac:dyDescent="0.25">
      <c r="A329" t="s">
        <v>346</v>
      </c>
      <c r="B329">
        <v>1759839.7972505901</v>
      </c>
      <c r="C329">
        <v>2433804.0162711302</v>
      </c>
      <c r="D329">
        <v>1023922.33926123</v>
      </c>
      <c r="E329">
        <v>4215488.9412517697</v>
      </c>
      <c r="F329">
        <v>9433055.0940347295</v>
      </c>
      <c r="G329" s="1">
        <f t="shared" si="30"/>
        <v>36.602448287641842</v>
      </c>
      <c r="H329" s="3">
        <f t="shared" si="31"/>
        <v>0.36602448287641842</v>
      </c>
      <c r="K329">
        <v>968569.76889144199</v>
      </c>
      <c r="L329">
        <v>174536.30272168599</v>
      </c>
      <c r="M329">
        <v>209733.39019420301</v>
      </c>
      <c r="N329">
        <v>15301568.154597299</v>
      </c>
      <c r="O329">
        <v>16654407.6164046</v>
      </c>
      <c r="P329" s="1">
        <f t="shared" si="32"/>
        <v>1.1277793013289206</v>
      </c>
      <c r="Q329" s="3">
        <f t="shared" si="33"/>
        <v>1.1277793013289206E-2</v>
      </c>
      <c r="T329">
        <f t="shared" si="29"/>
        <v>32.455329020945221</v>
      </c>
    </row>
    <row r="330" spans="1:20" x14ac:dyDescent="0.25">
      <c r="A330" t="s">
        <v>347</v>
      </c>
      <c r="B330">
        <v>2598435.6376293199</v>
      </c>
      <c r="C330">
        <v>816283.73280060804</v>
      </c>
      <c r="D330">
        <v>1073630.0925571399</v>
      </c>
      <c r="E330">
        <v>5486112.3162078904</v>
      </c>
      <c r="F330">
        <v>9974461.7791949697</v>
      </c>
      <c r="G330" s="1">
        <f t="shared" si="30"/>
        <v>12.951958690838335</v>
      </c>
      <c r="H330" s="3">
        <f t="shared" si="31"/>
        <v>0.12951958690838336</v>
      </c>
      <c r="I330" s="1"/>
      <c r="J330" s="1"/>
      <c r="K330">
        <v>2814514.6018661698</v>
      </c>
      <c r="L330">
        <v>67570.759443479707</v>
      </c>
      <c r="M330">
        <v>749249.87586263905</v>
      </c>
      <c r="N330">
        <v>30726722.674675699</v>
      </c>
      <c r="O330">
        <v>34358057.911848001</v>
      </c>
      <c r="P330" s="1">
        <f t="shared" si="32"/>
        <v>0.21942623748792781</v>
      </c>
      <c r="Q330" s="3">
        <f t="shared" si="33"/>
        <v>2.194262374879278E-3</v>
      </c>
      <c r="T330">
        <f t="shared" si="29"/>
        <v>59.026481240881303</v>
      </c>
    </row>
    <row r="331" spans="1:20" x14ac:dyDescent="0.25">
      <c r="A331" t="s">
        <v>348</v>
      </c>
      <c r="B331">
        <v>1480555.4459074701</v>
      </c>
      <c r="C331">
        <v>10029.836385254001</v>
      </c>
      <c r="D331">
        <v>622305.37104192004</v>
      </c>
      <c r="E331">
        <v>5922972.4726072596</v>
      </c>
      <c r="F331">
        <v>8035863.1259419098</v>
      </c>
      <c r="G331" s="1">
        <f t="shared" si="30"/>
        <v>0.16905161776276423</v>
      </c>
      <c r="H331" s="3">
        <f t="shared" si="31"/>
        <v>1.6905161776276424E-3</v>
      </c>
      <c r="K331">
        <v>1896422.5628816199</v>
      </c>
      <c r="L331">
        <v>28970.763932216199</v>
      </c>
      <c r="M331">
        <v>329876.78785358701</v>
      </c>
      <c r="N331">
        <v>24301246.483964998</v>
      </c>
      <c r="O331">
        <v>26556516.598632399</v>
      </c>
      <c r="P331" s="1">
        <f t="shared" si="32"/>
        <v>0.11907318227797598</v>
      </c>
      <c r="Q331" s="3">
        <f t="shared" si="33"/>
        <v>1.1907318227797597E-3</v>
      </c>
      <c r="T331">
        <f t="shared" si="29"/>
        <v>1.4197287292457992</v>
      </c>
    </row>
    <row r="332" spans="1:20" x14ac:dyDescent="0.25">
      <c r="A332" t="s">
        <v>349</v>
      </c>
      <c r="B332">
        <v>2483712.5982589801</v>
      </c>
      <c r="C332">
        <v>49466.367620837897</v>
      </c>
      <c r="D332">
        <v>671177.08986784494</v>
      </c>
      <c r="E332">
        <v>3364271.7617929801</v>
      </c>
      <c r="F332">
        <v>6568627.8175406503</v>
      </c>
      <c r="G332" s="1">
        <f t="shared" si="30"/>
        <v>1.4490381436883062</v>
      </c>
      <c r="H332" s="3">
        <f t="shared" si="31"/>
        <v>1.4490381436883063E-2</v>
      </c>
      <c r="K332">
        <v>1781132.99541975</v>
      </c>
      <c r="L332">
        <v>14475.6207287657</v>
      </c>
      <c r="M332">
        <v>589388.67878206505</v>
      </c>
      <c r="N332">
        <v>19529627.556088801</v>
      </c>
      <c r="O332">
        <v>21914624.851019401</v>
      </c>
      <c r="P332" s="1">
        <f t="shared" si="32"/>
        <v>7.4066436294381116E-2</v>
      </c>
      <c r="Q332" s="3">
        <f t="shared" si="33"/>
        <v>7.4066436294381122E-4</v>
      </c>
      <c r="T332">
        <f t="shared" si="29"/>
        <v>19.564032187656828</v>
      </c>
    </row>
    <row r="333" spans="1:20" x14ac:dyDescent="0.25">
      <c r="A333" t="s">
        <v>350</v>
      </c>
      <c r="B333">
        <v>3263755.13405897</v>
      </c>
      <c r="C333">
        <v>11577.3558760624</v>
      </c>
      <c r="D333">
        <v>929623.65657303901</v>
      </c>
      <c r="E333">
        <v>5482696.1113112401</v>
      </c>
      <c r="F333">
        <v>9687652.2578193098</v>
      </c>
      <c r="G333" s="1">
        <f t="shared" si="30"/>
        <v>0.21071677529712088</v>
      </c>
      <c r="H333" s="3">
        <f t="shared" si="31"/>
        <v>2.1071677529712089E-3</v>
      </c>
      <c r="K333">
        <v>1271014.1417535599</v>
      </c>
      <c r="L333">
        <v>6329.8291333712796</v>
      </c>
      <c r="M333">
        <v>540158.781138925</v>
      </c>
      <c r="N333">
        <v>14162791.652196901</v>
      </c>
      <c r="O333">
        <v>15980294.404222799</v>
      </c>
      <c r="P333" s="1">
        <f t="shared" si="32"/>
        <v>4.4673405769805018E-2</v>
      </c>
      <c r="Q333" s="3">
        <f t="shared" si="33"/>
        <v>4.4673405769805018E-4</v>
      </c>
      <c r="T333">
        <f t="shared" si="29"/>
        <v>4.7168280919281385</v>
      </c>
    </row>
    <row r="334" spans="1:20" x14ac:dyDescent="0.25">
      <c r="A334" t="s">
        <v>351</v>
      </c>
      <c r="B334">
        <v>1938845.7555524299</v>
      </c>
      <c r="C334">
        <v>19459.468825658299</v>
      </c>
      <c r="D334">
        <v>424631.84726192203</v>
      </c>
      <c r="E334">
        <v>5689403.2850280805</v>
      </c>
      <c r="F334">
        <v>8072340.3566680904</v>
      </c>
      <c r="G334" s="1">
        <f t="shared" si="30"/>
        <v>0.34086419072734381</v>
      </c>
      <c r="H334" s="3">
        <f t="shared" si="31"/>
        <v>3.4086419072734382E-3</v>
      </c>
      <c r="K334">
        <v>2507930.7546380698</v>
      </c>
      <c r="L334">
        <v>2915.2762285630502</v>
      </c>
      <c r="M334">
        <v>282637.24505761598</v>
      </c>
      <c r="N334">
        <v>11995052.2356309</v>
      </c>
      <c r="O334">
        <v>14788535.5115552</v>
      </c>
      <c r="P334" s="1">
        <f t="shared" si="32"/>
        <v>2.4298084035328717E-2</v>
      </c>
      <c r="Q334" s="3">
        <f t="shared" si="33"/>
        <v>2.4298084035328715E-4</v>
      </c>
      <c r="T334">
        <f t="shared" si="29"/>
        <v>14.028439042014057</v>
      </c>
    </row>
    <row r="335" spans="1:20" x14ac:dyDescent="0.25">
      <c r="A335" t="s">
        <v>352</v>
      </c>
      <c r="B335">
        <v>977423.83636867104</v>
      </c>
      <c r="C335">
        <v>15433.992489890499</v>
      </c>
      <c r="D335">
        <v>257577.373483495</v>
      </c>
      <c r="E335">
        <v>5032410.7980646901</v>
      </c>
      <c r="F335">
        <v>6282846.0004067495</v>
      </c>
      <c r="G335" s="1">
        <f t="shared" si="30"/>
        <v>0.30575410160728911</v>
      </c>
      <c r="H335" s="3">
        <f t="shared" si="31"/>
        <v>3.0575410160728908E-3</v>
      </c>
      <c r="I335" s="1"/>
      <c r="J335" s="1"/>
      <c r="K335">
        <v>1129112.0687124501</v>
      </c>
      <c r="L335">
        <v>2927.42971042313</v>
      </c>
      <c r="M335">
        <v>175563.18294891101</v>
      </c>
      <c r="N335">
        <v>9826707.3787662704</v>
      </c>
      <c r="O335">
        <v>11134310.060138</v>
      </c>
      <c r="P335" s="1">
        <f t="shared" si="32"/>
        <v>2.9781673149226549E-2</v>
      </c>
      <c r="Q335" s="3">
        <f t="shared" si="33"/>
        <v>2.9781673149226548E-4</v>
      </c>
      <c r="T335">
        <f t="shared" si="29"/>
        <v>10.266518609456627</v>
      </c>
    </row>
    <row r="336" spans="1:20" x14ac:dyDescent="0.25">
      <c r="A336" t="s">
        <v>353</v>
      </c>
      <c r="B336">
        <v>690224.82797283505</v>
      </c>
      <c r="C336">
        <v>218381.74128735601</v>
      </c>
      <c r="D336">
        <v>254311.64225319101</v>
      </c>
      <c r="E336">
        <v>4710942.1809812197</v>
      </c>
      <c r="F336">
        <v>5873860.3924946003</v>
      </c>
      <c r="G336" s="1">
        <f t="shared" si="30"/>
        <v>4.4302574700112682</v>
      </c>
      <c r="H336" s="3">
        <f t="shared" si="31"/>
        <v>4.430257470011268E-2</v>
      </c>
      <c r="K336">
        <v>776013.70710032701</v>
      </c>
      <c r="L336">
        <v>112763.939499657</v>
      </c>
      <c r="M336">
        <v>125313.10637068099</v>
      </c>
      <c r="N336">
        <v>10276757.028821399</v>
      </c>
      <c r="O336">
        <v>11290847.781792101</v>
      </c>
      <c r="P336" s="1">
        <f t="shared" si="32"/>
        <v>1.0853622591791123</v>
      </c>
      <c r="Q336" s="3">
        <f t="shared" si="33"/>
        <v>1.0853622591791123E-2</v>
      </c>
      <c r="T336">
        <f t="shared" si="29"/>
        <v>4.0818237713203578</v>
      </c>
    </row>
    <row r="337" spans="1:21" x14ac:dyDescent="0.25">
      <c r="A337" t="s">
        <v>354</v>
      </c>
      <c r="B337">
        <v>2629433.8324109102</v>
      </c>
      <c r="C337">
        <v>12828.39075769</v>
      </c>
      <c r="D337">
        <v>495916.118198802</v>
      </c>
      <c r="E337">
        <v>8852942.7927051708</v>
      </c>
      <c r="F337">
        <v>11991121.134072499</v>
      </c>
      <c r="G337" s="1">
        <f t="shared" si="30"/>
        <v>0.14469571221980704</v>
      </c>
      <c r="H337" s="3">
        <f t="shared" si="31"/>
        <v>1.4469571221980703E-3</v>
      </c>
      <c r="K337">
        <v>3322349.13753162</v>
      </c>
      <c r="L337">
        <v>6235.02791016218</v>
      </c>
      <c r="M337">
        <v>360014.86013980099</v>
      </c>
      <c r="N337">
        <v>16243591.1583139</v>
      </c>
      <c r="O337">
        <v>19932190.183895499</v>
      </c>
      <c r="P337" s="1">
        <f t="shared" si="32"/>
        <v>3.8369812936509942E-2</v>
      </c>
      <c r="Q337" s="3">
        <f t="shared" si="33"/>
        <v>3.8369812936509939E-4</v>
      </c>
      <c r="T337">
        <f t="shared" si="29"/>
        <v>3.7710820341822688</v>
      </c>
    </row>
    <row r="338" spans="1:21" x14ac:dyDescent="0.25">
      <c r="A338" t="s">
        <v>355</v>
      </c>
      <c r="B338">
        <v>6162304.8581316201</v>
      </c>
      <c r="C338">
        <v>17711.5423398077</v>
      </c>
      <c r="D338">
        <v>3012854.7005425198</v>
      </c>
      <c r="E338">
        <v>3402773.4366428098</v>
      </c>
      <c r="F338">
        <v>12595644.5376567</v>
      </c>
      <c r="G338" s="1">
        <f t="shared" si="30"/>
        <v>0.51780792632148276</v>
      </c>
      <c r="H338" s="3">
        <f t="shared" si="31"/>
        <v>5.1780792632148279E-3</v>
      </c>
      <c r="K338">
        <v>1195716.7791043899</v>
      </c>
      <c r="L338">
        <v>14502.304642683201</v>
      </c>
      <c r="M338">
        <v>523346.255253557</v>
      </c>
      <c r="N338">
        <v>15869987.7314089</v>
      </c>
      <c r="O338">
        <v>17603553.0704096</v>
      </c>
      <c r="P338" s="1">
        <f t="shared" si="32"/>
        <v>9.1298522078887265E-2</v>
      </c>
      <c r="Q338" s="3">
        <f t="shared" si="33"/>
        <v>9.1298522078887259E-4</v>
      </c>
      <c r="T338">
        <f t="shared" si="29"/>
        <v>5.6715915496864939</v>
      </c>
    </row>
    <row r="339" spans="1:21" x14ac:dyDescent="0.25">
      <c r="A339" t="s">
        <v>356</v>
      </c>
      <c r="B339">
        <v>2751721.92104918</v>
      </c>
      <c r="C339">
        <v>757.97114393264803</v>
      </c>
      <c r="D339">
        <v>1953311.0730719699</v>
      </c>
      <c r="E339">
        <v>2586775.7390349102</v>
      </c>
      <c r="F339">
        <v>7292566.7043000003</v>
      </c>
      <c r="G339" s="1">
        <f t="shared" si="30"/>
        <v>2.9293189145746794E-2</v>
      </c>
      <c r="H339" s="3">
        <f t="shared" si="31"/>
        <v>2.9293189145746792E-4</v>
      </c>
      <c r="K339">
        <v>3113949.52842945</v>
      </c>
      <c r="L339">
        <v>4372.9104457652802</v>
      </c>
      <c r="M339">
        <v>538715.84357666899</v>
      </c>
      <c r="N339">
        <v>19005333.236744199</v>
      </c>
      <c r="O339">
        <v>22662371.519196101</v>
      </c>
      <c r="P339" s="1">
        <f t="shared" si="32"/>
        <v>2.3003566766926005E-2</v>
      </c>
      <c r="Q339" s="3">
        <f t="shared" si="33"/>
        <v>2.3003566766926004E-4</v>
      </c>
      <c r="T339">
        <f t="shared" si="29"/>
        <v>1.2734194415391209</v>
      </c>
    </row>
    <row r="340" spans="1:21" x14ac:dyDescent="0.25">
      <c r="A340" t="s">
        <v>357</v>
      </c>
      <c r="B340">
        <v>2952025.0491083199</v>
      </c>
      <c r="C340">
        <v>26808.575803026899</v>
      </c>
      <c r="D340">
        <v>2945448.6272960198</v>
      </c>
      <c r="E340">
        <v>9314504.2229700405</v>
      </c>
      <c r="F340">
        <v>15238786.4751774</v>
      </c>
      <c r="G340" s="1">
        <f t="shared" si="30"/>
        <v>0.28698938126285706</v>
      </c>
      <c r="H340" s="3">
        <f t="shared" si="31"/>
        <v>2.8698938126285704E-3</v>
      </c>
      <c r="K340">
        <v>876783.76414388104</v>
      </c>
      <c r="L340">
        <v>14080.879506510501</v>
      </c>
      <c r="M340">
        <v>457340.69848513999</v>
      </c>
      <c r="N340">
        <v>16207762.830065399</v>
      </c>
      <c r="O340">
        <v>17555968.1722009</v>
      </c>
      <c r="P340" s="1">
        <f t="shared" si="32"/>
        <v>8.6801967511263192E-2</v>
      </c>
      <c r="Q340" s="3">
        <f t="shared" si="33"/>
        <v>8.6801967511263196E-4</v>
      </c>
      <c r="T340">
        <f t="shared" si="29"/>
        <v>3.3062543337582531</v>
      </c>
    </row>
    <row r="341" spans="1:21" x14ac:dyDescent="0.25">
      <c r="A341" t="s">
        <v>358</v>
      </c>
      <c r="B341">
        <v>4399836.8908965401</v>
      </c>
      <c r="C341">
        <v>621597.96612589003</v>
      </c>
      <c r="D341">
        <v>109830.662461006</v>
      </c>
      <c r="E341">
        <v>8014348.9545135004</v>
      </c>
      <c r="F341">
        <v>13145614.4739969</v>
      </c>
      <c r="G341" s="1">
        <f t="shared" si="30"/>
        <v>7.1977974371323263</v>
      </c>
      <c r="H341" s="3">
        <f t="shared" si="31"/>
        <v>7.1977974371323264E-2</v>
      </c>
      <c r="K341">
        <v>488532.539441453</v>
      </c>
      <c r="L341">
        <v>41179.5139031008</v>
      </c>
      <c r="M341">
        <v>214659.194062953</v>
      </c>
      <c r="N341">
        <v>5285732.72946213</v>
      </c>
      <c r="O341">
        <v>6030103.9768696399</v>
      </c>
      <c r="P341" s="1">
        <f t="shared" si="32"/>
        <v>0.77304659851287505</v>
      </c>
      <c r="Q341" s="3">
        <f t="shared" si="33"/>
        <v>7.73046598512875E-3</v>
      </c>
      <c r="T341">
        <f t="shared" si="29"/>
        <v>9.3109489789863531</v>
      </c>
    </row>
    <row r="342" spans="1:21" x14ac:dyDescent="0.25">
      <c r="A342" t="s">
        <v>359</v>
      </c>
      <c r="B342">
        <v>2023903.7018744601</v>
      </c>
      <c r="C342">
        <v>38459.825978017398</v>
      </c>
      <c r="D342">
        <v>832156.84108434001</v>
      </c>
      <c r="E342">
        <v>2381640.0896415599</v>
      </c>
      <c r="F342">
        <v>5276160.4585783798</v>
      </c>
      <c r="G342" s="1">
        <f t="shared" si="30"/>
        <v>1.5891833940323568</v>
      </c>
      <c r="H342" s="3">
        <f t="shared" si="31"/>
        <v>1.5891833940323567E-2</v>
      </c>
      <c r="K342">
        <v>1470706.32056302</v>
      </c>
      <c r="L342">
        <v>244400.03494501501</v>
      </c>
      <c r="M342">
        <v>444141.63068587898</v>
      </c>
      <c r="N342">
        <v>14463343.402589301</v>
      </c>
      <c r="O342">
        <v>16622591.3887832</v>
      </c>
      <c r="P342" s="1">
        <f t="shared" si="32"/>
        <v>1.6617099419976527</v>
      </c>
      <c r="Q342" s="3">
        <f t="shared" si="33"/>
        <v>1.6617099419976526E-2</v>
      </c>
      <c r="T342">
        <f t="shared" si="29"/>
        <v>0.95635426729281836</v>
      </c>
      <c r="U342" t="s">
        <v>217</v>
      </c>
    </row>
    <row r="343" spans="1:21" x14ac:dyDescent="0.25">
      <c r="A343" t="s">
        <v>360</v>
      </c>
      <c r="B343">
        <v>4190117.6550987</v>
      </c>
      <c r="C343">
        <v>15255.5244872521</v>
      </c>
      <c r="D343">
        <v>1216626.5594726901</v>
      </c>
      <c r="E343">
        <v>9960763.0377859194</v>
      </c>
      <c r="F343">
        <v>15382762.7768445</v>
      </c>
      <c r="G343" s="1">
        <f t="shared" si="30"/>
        <v>0.15292197375157973</v>
      </c>
      <c r="H343" s="3">
        <f t="shared" si="31"/>
        <v>1.5292197375157972E-3</v>
      </c>
      <c r="K343">
        <v>3009170.72941565</v>
      </c>
      <c r="L343">
        <v>8059.5911277106597</v>
      </c>
      <c r="M343">
        <v>439486.40668729902</v>
      </c>
      <c r="N343">
        <v>20340315.063536402</v>
      </c>
      <c r="O343">
        <v>23797031.7907671</v>
      </c>
      <c r="P343" s="1">
        <f t="shared" si="32"/>
        <v>3.9608033882270278E-2</v>
      </c>
      <c r="Q343" s="3">
        <f t="shared" si="33"/>
        <v>3.9608033882270279E-4</v>
      </c>
      <c r="T343">
        <f t="shared" si="29"/>
        <v>3.8608827240988624</v>
      </c>
    </row>
    <row r="344" spans="1:21" x14ac:dyDescent="0.25">
      <c r="A344" t="s">
        <v>361</v>
      </c>
      <c r="B344">
        <v>5675008.9733642004</v>
      </c>
      <c r="C344">
        <v>559829.08712104999</v>
      </c>
      <c r="D344">
        <v>1130512.74469786</v>
      </c>
      <c r="E344">
        <v>6147804.7152350498</v>
      </c>
      <c r="F344">
        <v>13513155.5204181</v>
      </c>
      <c r="G344" s="1">
        <f t="shared" si="30"/>
        <v>8.3461486362658377</v>
      </c>
      <c r="H344" s="3">
        <f t="shared" si="31"/>
        <v>8.3461486362658377E-2</v>
      </c>
      <c r="K344">
        <v>3333858.14478159</v>
      </c>
      <c r="L344">
        <v>66380.9944345166</v>
      </c>
      <c r="M344">
        <v>605738.72122755996</v>
      </c>
      <c r="N344">
        <v>22571494.991464801</v>
      </c>
      <c r="O344">
        <v>26577472.851908501</v>
      </c>
      <c r="P344" s="1">
        <f t="shared" si="32"/>
        <v>0.29322978213973783</v>
      </c>
      <c r="Q344" s="3">
        <f t="shared" si="33"/>
        <v>2.9322978213973784E-3</v>
      </c>
      <c r="T344">
        <f t="shared" si="29"/>
        <v>28.462827259096429</v>
      </c>
    </row>
    <row r="345" spans="1:21" x14ac:dyDescent="0.25">
      <c r="A345" t="s">
        <v>362</v>
      </c>
      <c r="B345">
        <v>2067573.11256915</v>
      </c>
      <c r="C345">
        <v>9387.0998146071197</v>
      </c>
      <c r="D345">
        <v>337852.99462148303</v>
      </c>
      <c r="E345">
        <v>4715266.0784326401</v>
      </c>
      <c r="F345">
        <v>7130079.2854378903</v>
      </c>
      <c r="G345" s="1">
        <f t="shared" si="30"/>
        <v>0.198683362787902</v>
      </c>
      <c r="H345" s="3">
        <f t="shared" si="31"/>
        <v>1.98683362787902E-3</v>
      </c>
      <c r="K345">
        <v>1963830.3545637</v>
      </c>
      <c r="L345">
        <v>4976.5719384634303</v>
      </c>
      <c r="M345">
        <v>257784.48291347901</v>
      </c>
      <c r="N345">
        <v>12354174.0324833</v>
      </c>
      <c r="O345">
        <v>14580765.441898899</v>
      </c>
      <c r="P345" s="1">
        <f t="shared" si="32"/>
        <v>4.0266294163313697E-2</v>
      </c>
      <c r="Q345" s="3">
        <f t="shared" si="33"/>
        <v>4.02662941633137E-4</v>
      </c>
      <c r="T345">
        <f t="shared" si="29"/>
        <v>4.9342351193798413</v>
      </c>
    </row>
    <row r="346" spans="1:21" x14ac:dyDescent="0.25">
      <c r="A346" t="s">
        <v>363</v>
      </c>
      <c r="B346">
        <v>2092267.6550779501</v>
      </c>
      <c r="C346">
        <v>8482.1382643325996</v>
      </c>
      <c r="D346">
        <v>1092020.3370825101</v>
      </c>
      <c r="E346">
        <v>4662091.9627460698</v>
      </c>
      <c r="F346">
        <v>7854862.0931708803</v>
      </c>
      <c r="G346" s="1">
        <f t="shared" si="30"/>
        <v>0.18160804391258084</v>
      </c>
      <c r="H346" s="3">
        <f t="shared" si="31"/>
        <v>1.8160804391258083E-3</v>
      </c>
      <c r="K346">
        <v>837309.60830367205</v>
      </c>
      <c r="L346">
        <v>2362.5603500110101</v>
      </c>
      <c r="M346">
        <v>117102.824217563</v>
      </c>
      <c r="N346">
        <v>11491811.7896575</v>
      </c>
      <c r="O346">
        <v>12448586.7825287</v>
      </c>
      <c r="P346" s="1">
        <f t="shared" si="32"/>
        <v>2.0554415463599318E-2</v>
      </c>
      <c r="Q346" s="3">
        <f t="shared" si="33"/>
        <v>2.0554415463599319E-4</v>
      </c>
      <c r="T346">
        <f t="shared" si="29"/>
        <v>8.8354759703187948</v>
      </c>
    </row>
    <row r="347" spans="1:21" x14ac:dyDescent="0.25">
      <c r="A347" t="s">
        <v>364</v>
      </c>
      <c r="B347">
        <v>4367978.5828863699</v>
      </c>
      <c r="C347">
        <v>2842.3805988491799</v>
      </c>
      <c r="D347">
        <v>785038.79816574499</v>
      </c>
      <c r="E347">
        <v>2941591.8286746498</v>
      </c>
      <c r="F347">
        <v>8097451.5903256303</v>
      </c>
      <c r="G347" s="1">
        <f t="shared" si="30"/>
        <v>9.6534016277120369E-2</v>
      </c>
      <c r="H347" s="3">
        <f t="shared" si="31"/>
        <v>9.6534016277120371E-4</v>
      </c>
      <c r="I347" s="1"/>
      <c r="J347" s="1"/>
      <c r="K347">
        <v>1780351.8113255801</v>
      </c>
      <c r="L347">
        <v>3303.9637730212698</v>
      </c>
      <c r="M347">
        <v>320009.541190691</v>
      </c>
      <c r="N347">
        <v>14859693.6796492</v>
      </c>
      <c r="O347">
        <v>16963358.995938499</v>
      </c>
      <c r="P347" s="1">
        <f t="shared" si="32"/>
        <v>2.2229457692765457E-2</v>
      </c>
      <c r="Q347" s="3">
        <f t="shared" si="33"/>
        <v>2.2229457692765457E-4</v>
      </c>
      <c r="R347" s="1"/>
      <c r="T347">
        <f t="shared" si="29"/>
        <v>4.3426167930555151</v>
      </c>
    </row>
    <row r="348" spans="1:21" x14ac:dyDescent="0.25">
      <c r="A348" t="s">
        <v>365</v>
      </c>
      <c r="B348">
        <v>5009567.45142309</v>
      </c>
      <c r="C348">
        <v>20471.255132913499</v>
      </c>
      <c r="D348">
        <v>983802.14463204902</v>
      </c>
      <c r="E348">
        <v>7418898.0132555403</v>
      </c>
      <c r="F348">
        <v>13432738.8644436</v>
      </c>
      <c r="G348" s="1">
        <f t="shared" si="30"/>
        <v>0.27517460680303163</v>
      </c>
      <c r="H348" s="3">
        <f t="shared" si="31"/>
        <v>2.7517460680303164E-3</v>
      </c>
      <c r="I348" s="1"/>
      <c r="J348" s="1"/>
      <c r="K348">
        <v>3171463.01268858</v>
      </c>
      <c r="L348">
        <v>60324.183967884099</v>
      </c>
      <c r="M348">
        <v>624028.915516351</v>
      </c>
      <c r="N348">
        <v>30922634.399020098</v>
      </c>
      <c r="O348">
        <v>34778450.511192903</v>
      </c>
      <c r="P348" s="1">
        <f t="shared" si="32"/>
        <v>0.19470117357032099</v>
      </c>
      <c r="Q348" s="3">
        <f t="shared" si="33"/>
        <v>1.94701173570321E-3</v>
      </c>
      <c r="R348" s="1"/>
      <c r="T348">
        <f t="shared" si="29"/>
        <v>1.4133176588360199</v>
      </c>
    </row>
    <row r="349" spans="1:21" x14ac:dyDescent="0.25">
      <c r="A349" t="s">
        <v>366</v>
      </c>
      <c r="B349">
        <v>2306911.6960440702</v>
      </c>
      <c r="C349">
        <v>512822.36495911801</v>
      </c>
      <c r="D349">
        <v>614848.48385127797</v>
      </c>
      <c r="E349">
        <v>5840732.6281599998</v>
      </c>
      <c r="F349">
        <v>9275315.1730144694</v>
      </c>
      <c r="G349" s="1">
        <f t="shared" si="30"/>
        <v>8.0714240376372466</v>
      </c>
      <c r="H349" s="3">
        <f t="shared" si="31"/>
        <v>8.0714240376372468E-2</v>
      </c>
      <c r="I349" s="1"/>
      <c r="J349" s="1"/>
      <c r="K349">
        <v>444193.14953297301</v>
      </c>
      <c r="L349">
        <v>26459.763883037002</v>
      </c>
      <c r="M349">
        <v>131426.666338565</v>
      </c>
      <c r="N349">
        <v>6419074.5819768095</v>
      </c>
      <c r="O349">
        <v>7021154.1617313903</v>
      </c>
      <c r="P349" s="1">
        <f t="shared" si="32"/>
        <v>0.41051311595341783</v>
      </c>
      <c r="Q349" s="3">
        <f t="shared" si="33"/>
        <v>4.1051311595341781E-3</v>
      </c>
      <c r="T349">
        <f t="shared" si="29"/>
        <v>19.661793311746795</v>
      </c>
    </row>
    <row r="350" spans="1:21" x14ac:dyDescent="0.25">
      <c r="A350" t="s">
        <v>367</v>
      </c>
      <c r="B350">
        <v>816207.61262664001</v>
      </c>
      <c r="C350">
        <v>15500.757273650501</v>
      </c>
      <c r="D350">
        <v>207337.964093463</v>
      </c>
      <c r="E350">
        <v>5266067.9806944299</v>
      </c>
      <c r="F350">
        <v>6305114.3146881899</v>
      </c>
      <c r="G350" s="1">
        <f t="shared" si="30"/>
        <v>0.29348775037649011</v>
      </c>
      <c r="H350" s="3">
        <f t="shared" si="31"/>
        <v>2.9348775037649011E-3</v>
      </c>
      <c r="K350">
        <v>3288389.5122824698</v>
      </c>
      <c r="L350">
        <v>15532.339413695499</v>
      </c>
      <c r="M350">
        <v>309695.67997947801</v>
      </c>
      <c r="N350">
        <v>22702391.368402202</v>
      </c>
      <c r="O350">
        <v>26316008.900077801</v>
      </c>
      <c r="P350" s="1">
        <f t="shared" si="32"/>
        <v>6.8370418060483842E-2</v>
      </c>
      <c r="Q350" s="3">
        <f t="shared" si="33"/>
        <v>6.8370418060483842E-4</v>
      </c>
      <c r="T350">
        <f t="shared" si="29"/>
        <v>4.2926130730523893</v>
      </c>
    </row>
    <row r="351" spans="1:21" x14ac:dyDescent="0.25">
      <c r="A351" t="s">
        <v>368</v>
      </c>
      <c r="B351">
        <v>2051301.4236002499</v>
      </c>
      <c r="C351">
        <v>6983.2850729734</v>
      </c>
      <c r="D351">
        <v>990647.43569900899</v>
      </c>
      <c r="E351">
        <v>5309238.9537432604</v>
      </c>
      <c r="F351">
        <v>8358171.0981155001</v>
      </c>
      <c r="G351" s="1">
        <f t="shared" si="30"/>
        <v>0.13135803507206978</v>
      </c>
      <c r="H351" s="3">
        <f t="shared" si="31"/>
        <v>1.3135803507206977E-3</v>
      </c>
      <c r="I351" s="1"/>
      <c r="J351" s="1"/>
      <c r="K351">
        <v>1450050.1749125801</v>
      </c>
      <c r="L351">
        <v>29998.122832171</v>
      </c>
      <c r="M351">
        <v>459701.55433410697</v>
      </c>
      <c r="N351">
        <v>19498454.302487101</v>
      </c>
      <c r="O351">
        <v>21438204.154566001</v>
      </c>
      <c r="P351" s="1">
        <f t="shared" si="32"/>
        <v>0.15361239169816374</v>
      </c>
      <c r="Q351" s="3">
        <f t="shared" si="33"/>
        <v>1.5361239169816375E-3</v>
      </c>
      <c r="T351">
        <f t="shared" si="29"/>
        <v>0.85512655339797039</v>
      </c>
      <c r="U351" t="s">
        <v>217</v>
      </c>
    </row>
    <row r="352" spans="1:21" x14ac:dyDescent="0.25">
      <c r="A352" t="s">
        <v>369</v>
      </c>
      <c r="B352">
        <v>755087.68469359702</v>
      </c>
      <c r="C352">
        <v>128241.52855814301</v>
      </c>
      <c r="D352">
        <v>226648.62645233001</v>
      </c>
      <c r="E352">
        <v>3326742.4825357599</v>
      </c>
      <c r="F352">
        <v>4436720.3222398302</v>
      </c>
      <c r="G352" s="1">
        <f t="shared" si="30"/>
        <v>3.7117835609762979</v>
      </c>
      <c r="H352" s="3">
        <f t="shared" si="31"/>
        <v>3.7117835609762978E-2</v>
      </c>
      <c r="K352">
        <v>1136075.83012852</v>
      </c>
      <c r="L352">
        <v>30667.720002154401</v>
      </c>
      <c r="M352">
        <v>273491.39139244502</v>
      </c>
      <c r="N352">
        <v>20406166.299843598</v>
      </c>
      <c r="O352">
        <v>21846401.241366699</v>
      </c>
      <c r="P352" s="1">
        <f t="shared" si="32"/>
        <v>0.15006101225059448</v>
      </c>
      <c r="Q352" s="3">
        <f t="shared" si="33"/>
        <v>1.5006101225059449E-3</v>
      </c>
      <c r="T352">
        <f t="shared" si="29"/>
        <v>24.73516275351923</v>
      </c>
    </row>
    <row r="353" spans="1:20" x14ac:dyDescent="0.25">
      <c r="A353" t="s">
        <v>370</v>
      </c>
      <c r="B353">
        <v>2560046.2146976502</v>
      </c>
      <c r="C353">
        <v>29710.422089968</v>
      </c>
      <c r="D353">
        <v>309972.78509368299</v>
      </c>
      <c r="E353">
        <v>6368835.1109520104</v>
      </c>
      <c r="F353">
        <v>9268564.5328333192</v>
      </c>
      <c r="G353" s="1">
        <f t="shared" si="30"/>
        <v>0.46433086920369471</v>
      </c>
      <c r="H353" s="3">
        <f t="shared" si="31"/>
        <v>4.6433086920369473E-3</v>
      </c>
      <c r="K353">
        <v>1730088.20344652</v>
      </c>
      <c r="L353">
        <v>7012.4807524995003</v>
      </c>
      <c r="M353">
        <v>459367.89946561499</v>
      </c>
      <c r="N353">
        <v>23187936.759832699</v>
      </c>
      <c r="O353">
        <v>25384405.343497299</v>
      </c>
      <c r="P353" s="1">
        <f t="shared" si="32"/>
        <v>3.0232791974510821E-2</v>
      </c>
      <c r="Q353" s="3">
        <f t="shared" si="33"/>
        <v>3.0232791974510822E-4</v>
      </c>
      <c r="T353">
        <f t="shared" si="29"/>
        <v>15.358517651799104</v>
      </c>
    </row>
    <row r="354" spans="1:20" x14ac:dyDescent="0.25">
      <c r="A354" t="s">
        <v>371</v>
      </c>
      <c r="B354">
        <v>3569352.1837578202</v>
      </c>
      <c r="C354">
        <v>7844.5485362418103</v>
      </c>
      <c r="D354">
        <v>996892.95349330397</v>
      </c>
      <c r="E354">
        <v>7732058.5848178798</v>
      </c>
      <c r="F354">
        <v>12306148.270605201</v>
      </c>
      <c r="G354" s="1">
        <f t="shared" si="30"/>
        <v>0.10135202470993121</v>
      </c>
      <c r="H354" s="3">
        <f t="shared" si="31"/>
        <v>1.0135202470993121E-3</v>
      </c>
      <c r="K354">
        <v>1989103.22897372</v>
      </c>
      <c r="L354">
        <v>4250.24393439302</v>
      </c>
      <c r="M354">
        <v>258123.05967836</v>
      </c>
      <c r="N354">
        <v>17381750.9495189</v>
      </c>
      <c r="O354">
        <v>19633227.4821054</v>
      </c>
      <c r="P354" s="1">
        <f t="shared" si="32"/>
        <v>2.4446357084074347E-2</v>
      </c>
      <c r="Q354" s="3">
        <f t="shared" si="33"/>
        <v>2.4446357084074348E-4</v>
      </c>
      <c r="T354">
        <f t="shared" si="29"/>
        <v>4.1458947998414573</v>
      </c>
    </row>
    <row r="355" spans="1:20" x14ac:dyDescent="0.25">
      <c r="A355" t="s">
        <v>372</v>
      </c>
      <c r="B355">
        <v>3632396.2488773302</v>
      </c>
      <c r="C355">
        <v>17538.964759508701</v>
      </c>
      <c r="D355">
        <v>512310.50044567999</v>
      </c>
      <c r="E355">
        <v>10410337.014964901</v>
      </c>
      <c r="F355">
        <v>14572582.729047401</v>
      </c>
      <c r="G355" s="1">
        <f t="shared" si="30"/>
        <v>0.16819307012867088</v>
      </c>
      <c r="H355" s="3">
        <f t="shared" si="31"/>
        <v>1.6819307012867087E-3</v>
      </c>
      <c r="K355">
        <v>2382120.3534407299</v>
      </c>
      <c r="L355">
        <v>4308.5191496625503</v>
      </c>
      <c r="M355">
        <v>222336.35089796499</v>
      </c>
      <c r="N355">
        <v>23765039.7340343</v>
      </c>
      <c r="O355">
        <v>26373804.957522701</v>
      </c>
      <c r="P355" s="1">
        <f t="shared" si="32"/>
        <v>1.8126366376433622E-2</v>
      </c>
      <c r="Q355" s="3">
        <f t="shared" si="33"/>
        <v>1.8126366376433622E-4</v>
      </c>
      <c r="T355">
        <f t="shared" si="29"/>
        <v>9.2789181590934504</v>
      </c>
    </row>
    <row r="356" spans="1:20" x14ac:dyDescent="0.25">
      <c r="A356" t="s">
        <v>373</v>
      </c>
      <c r="B356">
        <v>2550256.5686525898</v>
      </c>
      <c r="C356">
        <v>6385.7356699513102</v>
      </c>
      <c r="D356">
        <v>289357.51943594601</v>
      </c>
      <c r="E356">
        <v>4158213.2345834798</v>
      </c>
      <c r="F356">
        <v>7004213.05834198</v>
      </c>
      <c r="G356" s="1">
        <f t="shared" si="30"/>
        <v>0.15333374751237366</v>
      </c>
      <c r="H356" s="3">
        <f t="shared" si="31"/>
        <v>1.5333374751237366E-3</v>
      </c>
      <c r="K356">
        <v>4750048.3668491598</v>
      </c>
      <c r="L356">
        <v>15051.483866533499</v>
      </c>
      <c r="M356">
        <v>565799.01692428195</v>
      </c>
      <c r="N356">
        <v>37210542.978897601</v>
      </c>
      <c r="O356">
        <v>42541441.846537597</v>
      </c>
      <c r="P356" s="1">
        <f t="shared" si="32"/>
        <v>4.0433159184574304E-2</v>
      </c>
      <c r="Q356" s="3">
        <f t="shared" si="33"/>
        <v>4.04331591845743E-4</v>
      </c>
      <c r="T356">
        <f t="shared" si="29"/>
        <v>3.7922771953687011</v>
      </c>
    </row>
    <row r="357" spans="1:20" x14ac:dyDescent="0.25">
      <c r="A357" t="s">
        <v>374</v>
      </c>
      <c r="B357">
        <v>2292091.6643575602</v>
      </c>
      <c r="C357">
        <v>34640.559670450901</v>
      </c>
      <c r="D357">
        <v>401261.04500795098</v>
      </c>
      <c r="E357">
        <v>3847391.8160695601</v>
      </c>
      <c r="F357">
        <v>6575385.08510553</v>
      </c>
      <c r="G357" s="1">
        <f t="shared" si="30"/>
        <v>0.89233051962498267</v>
      </c>
      <c r="H357" s="3">
        <f t="shared" si="31"/>
        <v>8.9233051962498266E-3</v>
      </c>
      <c r="I357" s="1"/>
      <c r="J357" s="1"/>
      <c r="K357">
        <v>1531163.02564384</v>
      </c>
      <c r="L357">
        <v>7064.6432093184103</v>
      </c>
      <c r="M357">
        <v>117800.73907147501</v>
      </c>
      <c r="N357">
        <v>10511374.037764</v>
      </c>
      <c r="O357">
        <v>12167402.4456886</v>
      </c>
      <c r="P357" s="1">
        <f t="shared" si="32"/>
        <v>6.7164371287323874E-2</v>
      </c>
      <c r="Q357" s="3">
        <f t="shared" si="33"/>
        <v>6.7164371287323872E-4</v>
      </c>
      <c r="T357">
        <f t="shared" si="29"/>
        <v>13.28577194309857</v>
      </c>
    </row>
    <row r="358" spans="1:20" x14ac:dyDescent="0.25">
      <c r="A358" t="s">
        <v>375</v>
      </c>
      <c r="B358">
        <v>1248423.76205082</v>
      </c>
      <c r="C358">
        <v>9225.59298127886</v>
      </c>
      <c r="D358">
        <v>374370.79763213999</v>
      </c>
      <c r="E358">
        <v>6779822.0811758796</v>
      </c>
      <c r="F358">
        <v>8411842.2338401191</v>
      </c>
      <c r="G358" s="1">
        <f t="shared" si="30"/>
        <v>0.13588935332412719</v>
      </c>
      <c r="H358" s="3">
        <f t="shared" si="31"/>
        <v>1.3588935332412718E-3</v>
      </c>
      <c r="I358" s="1"/>
      <c r="J358" s="1"/>
      <c r="K358">
        <v>2709607.0683591701</v>
      </c>
      <c r="L358">
        <v>5332.5020655449798</v>
      </c>
      <c r="M358">
        <v>315902.76701188</v>
      </c>
      <c r="N358">
        <v>23544993.574596498</v>
      </c>
      <c r="O358">
        <v>26575835.9120331</v>
      </c>
      <c r="P358" s="1">
        <f t="shared" si="32"/>
        <v>2.2643007354490069E-2</v>
      </c>
      <c r="Q358" s="3">
        <f t="shared" si="33"/>
        <v>2.264300735449007E-4</v>
      </c>
      <c r="T358">
        <f t="shared" si="29"/>
        <v>6.001382731396788</v>
      </c>
    </row>
    <row r="359" spans="1:20" x14ac:dyDescent="0.25">
      <c r="A359" t="s">
        <v>376</v>
      </c>
      <c r="B359">
        <v>4784931.7753181402</v>
      </c>
      <c r="C359">
        <v>22006.485778550301</v>
      </c>
      <c r="D359">
        <v>1121561.87778616</v>
      </c>
      <c r="E359">
        <v>5756344.9687982798</v>
      </c>
      <c r="F359">
        <v>11684845.107681099</v>
      </c>
      <c r="G359" s="1">
        <f t="shared" si="30"/>
        <v>0.38084367057873802</v>
      </c>
      <c r="H359" s="3">
        <f t="shared" si="31"/>
        <v>3.80843670578738E-3</v>
      </c>
      <c r="K359">
        <v>1088789.6204419399</v>
      </c>
      <c r="L359">
        <v>1019.12245781331</v>
      </c>
      <c r="M359">
        <v>144787.055547047</v>
      </c>
      <c r="N359">
        <v>12981295.2014757</v>
      </c>
      <c r="O359">
        <v>14215890.999922501</v>
      </c>
      <c r="P359" s="1">
        <f t="shared" si="32"/>
        <v>7.8500830621125017E-3</v>
      </c>
      <c r="Q359" s="3">
        <f t="shared" si="33"/>
        <v>7.8500830621125019E-5</v>
      </c>
      <c r="T359">
        <f t="shared" ref="T359:T391" si="34">H359/Q359</f>
        <v>48.514603930350106</v>
      </c>
    </row>
    <row r="360" spans="1:20" x14ac:dyDescent="0.25">
      <c r="A360" t="s">
        <v>377</v>
      </c>
      <c r="B360">
        <v>7260854.8634006605</v>
      </c>
      <c r="C360">
        <v>13613.159197683901</v>
      </c>
      <c r="D360">
        <v>2947571.4695346798</v>
      </c>
      <c r="E360">
        <v>8949906.9531350397</v>
      </c>
      <c r="F360">
        <v>19171946.445268001</v>
      </c>
      <c r="G360" s="1">
        <f t="shared" si="30"/>
        <v>0.15187291406814421</v>
      </c>
      <c r="H360" s="3">
        <f t="shared" si="31"/>
        <v>1.5187291406814421E-3</v>
      </c>
      <c r="K360">
        <v>2997077.8420037399</v>
      </c>
      <c r="L360">
        <v>12886.7677280475</v>
      </c>
      <c r="M360">
        <v>385135.672484704</v>
      </c>
      <c r="N360">
        <v>21342582.717655301</v>
      </c>
      <c r="O360">
        <v>24737682.999871802</v>
      </c>
      <c r="P360" s="1">
        <f t="shared" si="32"/>
        <v>6.0344108739298782E-2</v>
      </c>
      <c r="Q360" s="3">
        <f t="shared" si="33"/>
        <v>6.0344108739298784E-4</v>
      </c>
      <c r="T360">
        <f t="shared" si="34"/>
        <v>2.5167811281176116</v>
      </c>
    </row>
    <row r="361" spans="1:20" x14ac:dyDescent="0.25">
      <c r="A361" t="s">
        <v>378</v>
      </c>
      <c r="B361">
        <v>790997.48059025803</v>
      </c>
      <c r="C361">
        <v>76019.116544093704</v>
      </c>
      <c r="D361">
        <v>312549.08350875502</v>
      </c>
      <c r="E361">
        <v>3151964.2719537802</v>
      </c>
      <c r="F361">
        <v>4331529.9525968796</v>
      </c>
      <c r="G361" s="1">
        <f t="shared" si="30"/>
        <v>2.3550033378414881</v>
      </c>
      <c r="H361" s="3">
        <f t="shared" si="31"/>
        <v>2.3550033378414881E-2</v>
      </c>
      <c r="I361" s="1"/>
      <c r="J361" s="1"/>
      <c r="K361">
        <v>1682223.29112021</v>
      </c>
      <c r="L361">
        <v>88076.349467564898</v>
      </c>
      <c r="M361">
        <v>334428.47897697601</v>
      </c>
      <c r="N361">
        <v>19728203.393734399</v>
      </c>
      <c r="O361">
        <v>21832931.5132991</v>
      </c>
      <c r="P361" s="1">
        <f t="shared" si="32"/>
        <v>0.4444646049053671</v>
      </c>
      <c r="Q361" s="3">
        <f t="shared" si="33"/>
        <v>4.4446460490536709E-3</v>
      </c>
      <c r="T361">
        <f t="shared" si="34"/>
        <v>5.2985171639098283</v>
      </c>
    </row>
    <row r="362" spans="1:20" x14ac:dyDescent="0.25">
      <c r="A362" t="s">
        <v>379</v>
      </c>
      <c r="B362">
        <v>1606383.76182088</v>
      </c>
      <c r="C362">
        <v>15442.540473446899</v>
      </c>
      <c r="D362">
        <v>984491.41177049698</v>
      </c>
      <c r="E362">
        <v>6143155.0819896599</v>
      </c>
      <c r="F362">
        <v>8749472.7960544899</v>
      </c>
      <c r="G362" s="1">
        <f t="shared" si="30"/>
        <v>0.25074767698933892</v>
      </c>
      <c r="H362" s="3">
        <f t="shared" si="31"/>
        <v>2.5074767698933893E-3</v>
      </c>
      <c r="K362">
        <v>2399198.4207330099</v>
      </c>
      <c r="L362">
        <v>20963.373199932899</v>
      </c>
      <c r="M362">
        <v>201489.137185008</v>
      </c>
      <c r="N362">
        <v>14425194.944459001</v>
      </c>
      <c r="O362">
        <v>17046845.875576898</v>
      </c>
      <c r="P362" s="1">
        <f t="shared" si="32"/>
        <v>0.14511382707406265</v>
      </c>
      <c r="Q362" s="3">
        <f t="shared" si="33"/>
        <v>1.4511382707406264E-3</v>
      </c>
      <c r="T362">
        <f t="shared" si="34"/>
        <v>1.7279378681217146</v>
      </c>
    </row>
    <row r="363" spans="1:20" x14ac:dyDescent="0.25">
      <c r="A363" t="s">
        <v>380</v>
      </c>
      <c r="B363">
        <v>1728315.9984683499</v>
      </c>
      <c r="C363">
        <v>16857.756124448399</v>
      </c>
      <c r="D363">
        <v>322362.37468067202</v>
      </c>
      <c r="E363">
        <v>4056376.0063291602</v>
      </c>
      <c r="F363">
        <v>6123912.13560264</v>
      </c>
      <c r="G363" s="1">
        <f t="shared" si="30"/>
        <v>0.41386665012551921</v>
      </c>
      <c r="H363" s="3">
        <f t="shared" si="31"/>
        <v>4.1386665012551919E-3</v>
      </c>
      <c r="I363" s="1"/>
      <c r="J363" s="1"/>
      <c r="K363">
        <v>1598886.1360550199</v>
      </c>
      <c r="L363">
        <v>5989.73882761603</v>
      </c>
      <c r="M363">
        <v>613857.73387796397</v>
      </c>
      <c r="N363">
        <v>19090475.913063198</v>
      </c>
      <c r="O363">
        <v>21309209.521823801</v>
      </c>
      <c r="P363" s="1">
        <f t="shared" si="32"/>
        <v>3.1365693195813768E-2</v>
      </c>
      <c r="Q363" s="3">
        <f t="shared" si="33"/>
        <v>3.1365693195813766E-4</v>
      </c>
      <c r="T363">
        <f t="shared" si="34"/>
        <v>13.194882942384837</v>
      </c>
    </row>
    <row r="364" spans="1:20" x14ac:dyDescent="0.25">
      <c r="A364" t="s">
        <v>381</v>
      </c>
      <c r="B364">
        <v>2311951.3287538099</v>
      </c>
      <c r="C364">
        <v>5726.0553451464102</v>
      </c>
      <c r="D364">
        <v>810822.31260176504</v>
      </c>
      <c r="E364">
        <v>3769523.9400339201</v>
      </c>
      <c r="F364">
        <v>6898023.6367346495</v>
      </c>
      <c r="G364" s="1">
        <f t="shared" si="30"/>
        <v>0.15167354088219703</v>
      </c>
      <c r="H364" s="3">
        <f t="shared" si="31"/>
        <v>1.5167354088219704E-3</v>
      </c>
      <c r="K364">
        <v>1680992.0185113701</v>
      </c>
      <c r="L364">
        <v>8739.7047535698894</v>
      </c>
      <c r="M364">
        <v>158671.49587832799</v>
      </c>
      <c r="N364">
        <v>15167811.6535886</v>
      </c>
      <c r="O364">
        <v>17016214.872731902</v>
      </c>
      <c r="P364" s="1">
        <f t="shared" si="32"/>
        <v>5.7586895383620156E-2</v>
      </c>
      <c r="Q364" s="3">
        <f t="shared" si="33"/>
        <v>5.7586895383620153E-4</v>
      </c>
      <c r="T364">
        <f t="shared" si="34"/>
        <v>2.6338204182012324</v>
      </c>
    </row>
    <row r="365" spans="1:20" x14ac:dyDescent="0.25">
      <c r="A365" t="s">
        <v>382</v>
      </c>
      <c r="B365">
        <v>2582661.1924262699</v>
      </c>
      <c r="C365">
        <v>4874.5705869851199</v>
      </c>
      <c r="D365">
        <v>801499.41635532398</v>
      </c>
      <c r="E365">
        <v>7337911.0858329898</v>
      </c>
      <c r="F365">
        <v>10726946.2652015</v>
      </c>
      <c r="G365" s="1">
        <f t="shared" si="30"/>
        <v>6.6385848846386597E-2</v>
      </c>
      <c r="H365" s="3">
        <f t="shared" si="31"/>
        <v>6.6385848846386595E-4</v>
      </c>
      <c r="I365" s="1"/>
      <c r="J365" s="1"/>
      <c r="K365">
        <v>1011798.3276820499</v>
      </c>
      <c r="L365">
        <v>9068.9120364891405</v>
      </c>
      <c r="M365">
        <v>372583.36310639099</v>
      </c>
      <c r="N365">
        <v>16683079.966086701</v>
      </c>
      <c r="O365">
        <v>18076530.568911601</v>
      </c>
      <c r="P365" s="1">
        <f t="shared" si="32"/>
        <v>5.4330404687289238E-2</v>
      </c>
      <c r="Q365" s="3">
        <f t="shared" si="33"/>
        <v>5.4330404687289238E-4</v>
      </c>
      <c r="R365" s="1"/>
      <c r="T365">
        <f t="shared" si="34"/>
        <v>1.2218913006167569</v>
      </c>
    </row>
    <row r="366" spans="1:20" x14ac:dyDescent="0.25">
      <c r="A366" t="s">
        <v>383</v>
      </c>
      <c r="B366">
        <v>2746727.73305383</v>
      </c>
      <c r="C366">
        <v>7266.3630116197901</v>
      </c>
      <c r="D366">
        <v>498669.04180395103</v>
      </c>
      <c r="E366">
        <v>4245166.6971064797</v>
      </c>
      <c r="F366">
        <v>7497829.8349758899</v>
      </c>
      <c r="G366" s="1">
        <f t="shared" si="30"/>
        <v>0.17087542376076784</v>
      </c>
      <c r="H366" s="3">
        <f t="shared" si="31"/>
        <v>1.7087542376076784E-3</v>
      </c>
      <c r="K366">
        <v>2464517.83907797</v>
      </c>
      <c r="L366">
        <v>6793.8429160798196</v>
      </c>
      <c r="M366">
        <v>420848.99059374997</v>
      </c>
      <c r="N366">
        <v>22288195.921927799</v>
      </c>
      <c r="O366">
        <v>25180356.594515599</v>
      </c>
      <c r="P366" s="1">
        <f t="shared" si="32"/>
        <v>3.04725096882205E-2</v>
      </c>
      <c r="Q366" s="3">
        <f t="shared" si="33"/>
        <v>3.04725096882205E-4</v>
      </c>
      <c r="T366">
        <f t="shared" si="34"/>
        <v>5.6075270960311387</v>
      </c>
    </row>
    <row r="367" spans="1:20" x14ac:dyDescent="0.25">
      <c r="A367" t="s">
        <v>384</v>
      </c>
      <c r="B367">
        <v>2617234.8275804999</v>
      </c>
      <c r="C367">
        <v>15403.7018319447</v>
      </c>
      <c r="D367">
        <v>610418.29947909003</v>
      </c>
      <c r="E367">
        <v>8741622.0470043793</v>
      </c>
      <c r="F367">
        <v>11984678.875895901</v>
      </c>
      <c r="G367" s="1">
        <f t="shared" ref="G367:G402" si="35">(C367/(C367+E367))*100</f>
        <v>0.17590106816794068</v>
      </c>
      <c r="H367" s="3">
        <f t="shared" ref="H367:H402" si="36">(C367/(C367+E367))</f>
        <v>1.7590106816794068E-3</v>
      </c>
      <c r="I367" s="1"/>
      <c r="J367" s="1"/>
      <c r="K367">
        <v>2706694.3677443098</v>
      </c>
      <c r="L367">
        <v>10219.3315599834</v>
      </c>
      <c r="M367">
        <v>198877.93410891399</v>
      </c>
      <c r="N367">
        <v>27386695.9089729</v>
      </c>
      <c r="O367">
        <v>30302487.5423861</v>
      </c>
      <c r="P367" s="1">
        <f t="shared" ref="P367:P391" si="37">(L367/(L367+N367))*100</f>
        <v>3.7301029952686852E-2</v>
      </c>
      <c r="Q367" s="3">
        <f t="shared" ref="Q367:Q391" si="38">(L367/(L367+N367))</f>
        <v>3.7301029952686854E-4</v>
      </c>
      <c r="T367">
        <f t="shared" si="34"/>
        <v>4.7157161180550791</v>
      </c>
    </row>
    <row r="368" spans="1:20" x14ac:dyDescent="0.25">
      <c r="A368" t="s">
        <v>385</v>
      </c>
      <c r="B368">
        <v>594415.195590385</v>
      </c>
      <c r="C368">
        <v>10200.997258769799</v>
      </c>
      <c r="D368">
        <v>69915.3370112259</v>
      </c>
      <c r="E368">
        <v>2389524.69522489</v>
      </c>
      <c r="F368">
        <v>3064056.2250852701</v>
      </c>
      <c r="G368" s="1">
        <f t="shared" si="35"/>
        <v>0.42509013804040274</v>
      </c>
      <c r="H368" s="3">
        <f t="shared" si="36"/>
        <v>4.2509013804040274E-3</v>
      </c>
      <c r="I368" s="1"/>
      <c r="J368" s="1"/>
      <c r="K368">
        <v>898901.23772643995</v>
      </c>
      <c r="L368">
        <v>10210.714807956499</v>
      </c>
      <c r="M368">
        <v>574440.77323706204</v>
      </c>
      <c r="N368">
        <v>17646430.3942427</v>
      </c>
      <c r="O368">
        <v>19129983.120014101</v>
      </c>
      <c r="P368" s="1">
        <f t="shared" si="37"/>
        <v>5.7829316147353566E-2</v>
      </c>
      <c r="Q368" s="3">
        <f t="shared" si="38"/>
        <v>5.7829316147353562E-4</v>
      </c>
      <c r="T368">
        <f t="shared" si="34"/>
        <v>7.3507723480118674</v>
      </c>
    </row>
    <row r="369" spans="1:21" x14ac:dyDescent="0.25">
      <c r="A369" t="s">
        <v>386</v>
      </c>
      <c r="B369">
        <v>3289672.4112087302</v>
      </c>
      <c r="C369">
        <v>7085.3111032923498</v>
      </c>
      <c r="D369">
        <v>323089.21455479402</v>
      </c>
      <c r="E369">
        <v>4860278.0486358805</v>
      </c>
      <c r="F369">
        <v>8480124.9855026901</v>
      </c>
      <c r="G369" s="1">
        <f t="shared" si="35"/>
        <v>0.14556774540193829</v>
      </c>
      <c r="H369" s="3">
        <f t="shared" si="36"/>
        <v>1.4556774540193829E-3</v>
      </c>
      <c r="I369" s="1"/>
      <c r="J369" s="1"/>
      <c r="K369">
        <v>2371661.2175058802</v>
      </c>
      <c r="L369">
        <v>6377.1444012146103</v>
      </c>
      <c r="M369">
        <v>591139.42149750399</v>
      </c>
      <c r="N369">
        <v>22607627.978381801</v>
      </c>
      <c r="O369">
        <v>25576805.761786401</v>
      </c>
      <c r="P369" s="1">
        <f t="shared" si="37"/>
        <v>2.8199977697846209E-2</v>
      </c>
      <c r="Q369" s="3">
        <f t="shared" si="38"/>
        <v>2.819997769784621E-4</v>
      </c>
      <c r="T369">
        <f t="shared" si="34"/>
        <v>5.1619808696889899</v>
      </c>
    </row>
    <row r="370" spans="1:21" x14ac:dyDescent="0.25">
      <c r="A370" t="s">
        <v>387</v>
      </c>
      <c r="B370">
        <v>3770709.5558469901</v>
      </c>
      <c r="C370">
        <v>2368986.8244755198</v>
      </c>
      <c r="D370">
        <v>1204187.31245312</v>
      </c>
      <c r="E370">
        <v>3574002.5610294901</v>
      </c>
      <c r="F370">
        <v>10917886.253805101</v>
      </c>
      <c r="G370" s="1">
        <f t="shared" si="35"/>
        <v>39.861872044622771</v>
      </c>
      <c r="H370" s="3">
        <f t="shared" si="36"/>
        <v>0.3986187204462277</v>
      </c>
      <c r="K370">
        <v>1235102.59367074</v>
      </c>
      <c r="L370">
        <v>70090.509481715693</v>
      </c>
      <c r="M370">
        <v>119981.804340516</v>
      </c>
      <c r="N370">
        <v>11214856.858785801</v>
      </c>
      <c r="O370">
        <v>12640031.7662788</v>
      </c>
      <c r="P370" s="1">
        <f t="shared" si="37"/>
        <v>0.62109735379719466</v>
      </c>
      <c r="Q370" s="3">
        <f t="shared" si="38"/>
        <v>6.2109735379719463E-3</v>
      </c>
      <c r="T370">
        <f t="shared" si="34"/>
        <v>64.179748635088799</v>
      </c>
    </row>
    <row r="371" spans="1:21" x14ac:dyDescent="0.25">
      <c r="A371" t="s">
        <v>388</v>
      </c>
      <c r="B371">
        <v>3634314.0591682401</v>
      </c>
      <c r="C371">
        <v>12885.644143326301</v>
      </c>
      <c r="D371">
        <v>2013742.6662777001</v>
      </c>
      <c r="E371">
        <v>2856510.9240009398</v>
      </c>
      <c r="F371">
        <v>8517453.2935902104</v>
      </c>
      <c r="G371" s="1">
        <f t="shared" si="35"/>
        <v>0.44907156739439036</v>
      </c>
      <c r="H371" s="3">
        <f t="shared" si="36"/>
        <v>4.4907156739439034E-3</v>
      </c>
      <c r="K371">
        <v>1533095.2638051701</v>
      </c>
      <c r="L371">
        <v>22728.4396272415</v>
      </c>
      <c r="M371">
        <v>774095.84011399595</v>
      </c>
      <c r="N371">
        <v>19328429.7736881</v>
      </c>
      <c r="O371">
        <v>21658349.317234501</v>
      </c>
      <c r="P371" s="1">
        <f t="shared" si="37"/>
        <v>0.11745260607503216</v>
      </c>
      <c r="Q371" s="3">
        <f t="shared" si="38"/>
        <v>1.1745260607503216E-3</v>
      </c>
      <c r="T371">
        <f t="shared" si="34"/>
        <v>3.8234278693442554</v>
      </c>
    </row>
    <row r="372" spans="1:21" x14ac:dyDescent="0.25">
      <c r="A372" t="s">
        <v>389</v>
      </c>
      <c r="B372">
        <v>1465272.16801884</v>
      </c>
      <c r="C372">
        <v>20847.674384817201</v>
      </c>
      <c r="D372">
        <v>359490.28591795103</v>
      </c>
      <c r="E372">
        <v>5194755.06773856</v>
      </c>
      <c r="F372">
        <v>7040365.1960601704</v>
      </c>
      <c r="G372" s="1">
        <f t="shared" si="35"/>
        <v>0.39971745195320779</v>
      </c>
      <c r="H372" s="3">
        <f t="shared" si="36"/>
        <v>3.997174519532078E-3</v>
      </c>
      <c r="K372">
        <v>2042908.10695604</v>
      </c>
      <c r="L372">
        <v>13370.060709298001</v>
      </c>
      <c r="M372">
        <v>390343.33779549901</v>
      </c>
      <c r="N372">
        <v>19149475.036680698</v>
      </c>
      <c r="O372">
        <v>21596096.542141601</v>
      </c>
      <c r="P372" s="1">
        <f t="shared" si="37"/>
        <v>6.9770749809583449E-2</v>
      </c>
      <c r="Q372" s="3">
        <f t="shared" si="38"/>
        <v>6.9770749809583443E-4</v>
      </c>
      <c r="T372">
        <f t="shared" si="34"/>
        <v>5.7290118429873047</v>
      </c>
    </row>
    <row r="373" spans="1:21" x14ac:dyDescent="0.25">
      <c r="A373" t="s">
        <v>390</v>
      </c>
      <c r="B373">
        <v>2160334.5294816098</v>
      </c>
      <c r="C373">
        <v>16273.438789317999</v>
      </c>
      <c r="D373">
        <v>287334.24287960201</v>
      </c>
      <c r="E373">
        <v>5168405.0459001102</v>
      </c>
      <c r="F373">
        <v>7632347.2570506502</v>
      </c>
      <c r="G373" s="1">
        <f t="shared" si="35"/>
        <v>0.31387556311108089</v>
      </c>
      <c r="H373" s="3">
        <f t="shared" si="36"/>
        <v>3.138755631110809E-3</v>
      </c>
      <c r="K373">
        <v>1783002.5945888299</v>
      </c>
      <c r="L373">
        <v>19307.7785740248</v>
      </c>
      <c r="M373">
        <v>147804.415797972</v>
      </c>
      <c r="N373">
        <v>13659227.520486699</v>
      </c>
      <c r="O373">
        <v>15609342.3094476</v>
      </c>
      <c r="P373" s="1">
        <f t="shared" si="37"/>
        <v>0.1411538454365843</v>
      </c>
      <c r="Q373" s="3">
        <f t="shared" si="38"/>
        <v>1.4115384543658431E-3</v>
      </c>
      <c r="T373">
        <f t="shared" si="34"/>
        <v>2.2236416028218988</v>
      </c>
    </row>
    <row r="374" spans="1:21" x14ac:dyDescent="0.25">
      <c r="A374" t="s">
        <v>391</v>
      </c>
      <c r="B374">
        <v>7387400.4955964601</v>
      </c>
      <c r="C374">
        <v>5666.5155548572402</v>
      </c>
      <c r="D374">
        <v>758030.37472044595</v>
      </c>
      <c r="E374">
        <v>6235903.8004919598</v>
      </c>
      <c r="F374">
        <v>14387001.186363701</v>
      </c>
      <c r="G374" s="1">
        <f t="shared" si="35"/>
        <v>9.0786697384292292E-2</v>
      </c>
      <c r="H374" s="3">
        <f t="shared" si="36"/>
        <v>9.0786697384292298E-4</v>
      </c>
      <c r="K374">
        <v>1577372.0833383</v>
      </c>
      <c r="L374">
        <v>1712.70888153241</v>
      </c>
      <c r="M374">
        <v>102764.96226624399</v>
      </c>
      <c r="N374">
        <v>15724847.895901799</v>
      </c>
      <c r="O374">
        <v>17406697.650387902</v>
      </c>
      <c r="P374" s="1">
        <f t="shared" si="37"/>
        <v>1.0890549590426523E-2</v>
      </c>
      <c r="Q374" s="3">
        <f t="shared" si="38"/>
        <v>1.0890549590426523E-4</v>
      </c>
      <c r="T374">
        <f t="shared" si="34"/>
        <v>8.3362824465809791</v>
      </c>
    </row>
    <row r="375" spans="1:21" x14ac:dyDescent="0.25">
      <c r="A375" t="s">
        <v>392</v>
      </c>
      <c r="B375">
        <v>3916923.0448291302</v>
      </c>
      <c r="C375">
        <v>26286.973573872699</v>
      </c>
      <c r="D375">
        <v>489591.69426822697</v>
      </c>
      <c r="E375">
        <v>11369926.872181401</v>
      </c>
      <c r="F375">
        <v>15802728.5848526</v>
      </c>
      <c r="G375" s="1">
        <f t="shared" si="35"/>
        <v>0.2306640953711461</v>
      </c>
      <c r="H375" s="3">
        <f t="shared" si="36"/>
        <v>2.3066409537114609E-3</v>
      </c>
      <c r="K375">
        <v>1988901.5001309901</v>
      </c>
      <c r="L375">
        <v>3842.0450725086298</v>
      </c>
      <c r="M375">
        <v>191686.83174278901</v>
      </c>
      <c r="N375">
        <v>17192682.831503302</v>
      </c>
      <c r="O375">
        <v>19377113.208449598</v>
      </c>
      <c r="P375" s="1">
        <f t="shared" si="37"/>
        <v>2.234198537253337E-2</v>
      </c>
      <c r="Q375" s="3">
        <f t="shared" si="38"/>
        <v>2.2341985372533371E-4</v>
      </c>
      <c r="T375">
        <f t="shared" si="34"/>
        <v>10.324243415480804</v>
      </c>
    </row>
    <row r="376" spans="1:21" x14ac:dyDescent="0.25">
      <c r="A376" t="s">
        <v>393</v>
      </c>
      <c r="B376">
        <v>1751368.1292855099</v>
      </c>
      <c r="C376">
        <v>24228.444063484701</v>
      </c>
      <c r="D376">
        <v>183610.69484127901</v>
      </c>
      <c r="E376">
        <v>4685687.0639510201</v>
      </c>
      <c r="F376">
        <v>6644894.33214131</v>
      </c>
      <c r="G376" s="1">
        <f t="shared" si="35"/>
        <v>0.51441356054598009</v>
      </c>
      <c r="H376" s="3">
        <f t="shared" si="36"/>
        <v>5.1441356054598014E-3</v>
      </c>
      <c r="K376">
        <v>1439387.7378319299</v>
      </c>
      <c r="L376">
        <v>8618.3099684360004</v>
      </c>
      <c r="M376">
        <v>130310.790245789</v>
      </c>
      <c r="N376">
        <v>15253297.191894701</v>
      </c>
      <c r="O376">
        <v>16831614.029940899</v>
      </c>
      <c r="P376" s="1">
        <f t="shared" si="37"/>
        <v>5.6469385952136207E-2</v>
      </c>
      <c r="Q376" s="3">
        <f t="shared" si="38"/>
        <v>5.6469385952136208E-4</v>
      </c>
      <c r="T376">
        <f t="shared" si="34"/>
        <v>9.1096007486605259</v>
      </c>
    </row>
    <row r="377" spans="1:21" x14ac:dyDescent="0.25">
      <c r="A377" t="s">
        <v>394</v>
      </c>
      <c r="B377">
        <v>0</v>
      </c>
      <c r="C377">
        <v>0</v>
      </c>
      <c r="D377">
        <v>0</v>
      </c>
      <c r="E377">
        <v>0</v>
      </c>
      <c r="F377">
        <v>0</v>
      </c>
      <c r="G377" s="1"/>
      <c r="H377" s="3"/>
      <c r="I377" s="12" t="s">
        <v>215</v>
      </c>
      <c r="K377">
        <v>2145808.25897153</v>
      </c>
      <c r="L377">
        <v>10507.187794421399</v>
      </c>
      <c r="M377">
        <v>461175.656094548</v>
      </c>
      <c r="N377">
        <v>23802091.636899501</v>
      </c>
      <c r="O377">
        <v>26419582.73976</v>
      </c>
      <c r="P377" s="1">
        <f t="shared" si="37"/>
        <v>4.4124490030568744E-2</v>
      </c>
      <c r="Q377" s="3">
        <f t="shared" si="38"/>
        <v>4.4124490030568746E-4</v>
      </c>
      <c r="T377">
        <f t="shared" si="34"/>
        <v>0</v>
      </c>
      <c r="U377" t="s">
        <v>217</v>
      </c>
    </row>
    <row r="378" spans="1:21" x14ac:dyDescent="0.25">
      <c r="A378" t="s">
        <v>395</v>
      </c>
      <c r="B378">
        <v>2134697.5928427498</v>
      </c>
      <c r="C378">
        <v>28365.2494820875</v>
      </c>
      <c r="D378">
        <v>842034.43193198997</v>
      </c>
      <c r="E378">
        <v>5542633.1551900599</v>
      </c>
      <c r="F378">
        <v>8547730.4294468891</v>
      </c>
      <c r="G378" s="1">
        <f t="shared" si="35"/>
        <v>0.50915917438243796</v>
      </c>
      <c r="H378" s="3">
        <f t="shared" si="36"/>
        <v>5.09159174382438E-3</v>
      </c>
      <c r="K378">
        <v>860459.94021367002</v>
      </c>
      <c r="L378">
        <v>9093.1079831666393</v>
      </c>
      <c r="M378">
        <v>104206.337265279</v>
      </c>
      <c r="N378">
        <v>12114191.684643099</v>
      </c>
      <c r="O378">
        <v>13087951.070105201</v>
      </c>
      <c r="P378" s="1">
        <f t="shared" si="37"/>
        <v>7.500531529785831E-2</v>
      </c>
      <c r="Q378" s="3">
        <f t="shared" si="38"/>
        <v>7.5005315297858313E-4</v>
      </c>
      <c r="T378">
        <f t="shared" si="34"/>
        <v>6.7883079000532707</v>
      </c>
    </row>
    <row r="379" spans="1:21" x14ac:dyDescent="0.25">
      <c r="A379" t="s">
        <v>396</v>
      </c>
      <c r="B379">
        <v>2084753.09454179</v>
      </c>
      <c r="C379">
        <v>1215.9259920945999</v>
      </c>
      <c r="D379">
        <v>2558547.5854893601</v>
      </c>
      <c r="E379">
        <v>3694311.1360292202</v>
      </c>
      <c r="F379">
        <v>8338827.7420524796</v>
      </c>
      <c r="G379" s="1">
        <f t="shared" si="35"/>
        <v>3.2902640724528587E-2</v>
      </c>
      <c r="H379" s="3">
        <f t="shared" si="36"/>
        <v>3.2902640724528589E-4</v>
      </c>
      <c r="K379">
        <v>1173027.24850138</v>
      </c>
      <c r="L379">
        <v>14639.700356367801</v>
      </c>
      <c r="M379">
        <v>953463.32564916799</v>
      </c>
      <c r="N379">
        <v>23497659.2585016</v>
      </c>
      <c r="O379">
        <v>25638789.533008501</v>
      </c>
      <c r="P379" s="1">
        <f t="shared" si="37"/>
        <v>6.2264010771488056E-2</v>
      </c>
      <c r="Q379" s="3">
        <f t="shared" si="38"/>
        <v>6.2264010771488057E-4</v>
      </c>
      <c r="T379">
        <f t="shared" si="34"/>
        <v>0.52843754067310056</v>
      </c>
      <c r="U379" t="s">
        <v>217</v>
      </c>
    </row>
    <row r="380" spans="1:21" x14ac:dyDescent="0.25">
      <c r="A380" t="s">
        <v>397</v>
      </c>
      <c r="B380">
        <v>233034.41212323899</v>
      </c>
      <c r="C380">
        <v>1317.95801356161</v>
      </c>
      <c r="D380">
        <v>20404.662407196302</v>
      </c>
      <c r="E380">
        <v>2006025.6291449601</v>
      </c>
      <c r="F380">
        <v>2260782.6616889602</v>
      </c>
      <c r="G380" s="1">
        <f t="shared" si="35"/>
        <v>6.5656822379233759E-2</v>
      </c>
      <c r="H380" s="3">
        <f t="shared" si="36"/>
        <v>6.5656822379233759E-4</v>
      </c>
      <c r="K380">
        <v>2136423.3017696799</v>
      </c>
      <c r="L380">
        <v>10400.328582594</v>
      </c>
      <c r="M380">
        <v>563823.65290950402</v>
      </c>
      <c r="N380">
        <v>26790906.3105652</v>
      </c>
      <c r="O380">
        <v>29501553.593827002</v>
      </c>
      <c r="P380" s="1">
        <f t="shared" si="37"/>
        <v>3.8805304243646768E-2</v>
      </c>
      <c r="Q380" s="3">
        <f t="shared" si="38"/>
        <v>3.8805304243646766E-4</v>
      </c>
      <c r="T380">
        <f t="shared" si="34"/>
        <v>1.6919548411988843</v>
      </c>
    </row>
    <row r="381" spans="1:21" x14ac:dyDescent="0.25">
      <c r="A381" t="s">
        <v>398</v>
      </c>
      <c r="B381">
        <v>3997115.5980891902</v>
      </c>
      <c r="C381">
        <v>6306410.3544868398</v>
      </c>
      <c r="D381">
        <v>262962.71331024898</v>
      </c>
      <c r="E381">
        <v>3693980.7588465698</v>
      </c>
      <c r="F381">
        <v>14260469.424732801</v>
      </c>
      <c r="G381" s="1">
        <f t="shared" si="35"/>
        <v>63.061637120157968</v>
      </c>
      <c r="H381" s="3">
        <f t="shared" si="36"/>
        <v>0.63061637120157965</v>
      </c>
      <c r="K381">
        <v>530423.41229803802</v>
      </c>
      <c r="L381">
        <v>346240.434095137</v>
      </c>
      <c r="M381">
        <v>101696.018605178</v>
      </c>
      <c r="N381">
        <v>11142697.2723899</v>
      </c>
      <c r="O381">
        <v>12121057.1373883</v>
      </c>
      <c r="P381" s="1">
        <f t="shared" si="37"/>
        <v>3.0136853636145875</v>
      </c>
      <c r="Q381" s="3">
        <f t="shared" si="38"/>
        <v>3.0136853636145874E-2</v>
      </c>
      <c r="T381">
        <f t="shared" si="34"/>
        <v>20.925089885469131</v>
      </c>
    </row>
    <row r="382" spans="1:21" x14ac:dyDescent="0.25">
      <c r="A382" t="s">
        <v>399</v>
      </c>
      <c r="B382">
        <v>1625108.1376453501</v>
      </c>
      <c r="C382">
        <v>5202.5363775176602</v>
      </c>
      <c r="D382">
        <v>647937.46074012597</v>
      </c>
      <c r="E382">
        <v>3865978.9091413398</v>
      </c>
      <c r="F382">
        <v>6144227.0439043501</v>
      </c>
      <c r="G382" s="1">
        <f t="shared" si="35"/>
        <v>0.13439143710352125</v>
      </c>
      <c r="H382" s="3">
        <f t="shared" si="36"/>
        <v>1.3439143710352126E-3</v>
      </c>
      <c r="K382">
        <v>2012265.2738894401</v>
      </c>
      <c r="L382">
        <v>70130.384720051807</v>
      </c>
      <c r="M382">
        <v>986404.78419962397</v>
      </c>
      <c r="N382">
        <v>17306605.919581398</v>
      </c>
      <c r="O382">
        <v>20375406.3623906</v>
      </c>
      <c r="P382" s="1">
        <f t="shared" si="37"/>
        <v>0.40358778249222593</v>
      </c>
      <c r="Q382" s="3">
        <f t="shared" si="38"/>
        <v>4.0358778249222592E-3</v>
      </c>
      <c r="T382">
        <f t="shared" si="34"/>
        <v>0.33299183705123675</v>
      </c>
      <c r="U382" t="s">
        <v>217</v>
      </c>
    </row>
    <row r="383" spans="1:21" x14ac:dyDescent="0.25">
      <c r="A383" t="s">
        <v>400</v>
      </c>
      <c r="B383">
        <v>2329053.17556427</v>
      </c>
      <c r="C383">
        <v>27494.886837134101</v>
      </c>
      <c r="D383">
        <v>888500.88189451303</v>
      </c>
      <c r="E383">
        <v>9815860.4509866107</v>
      </c>
      <c r="F383">
        <v>13060909.395282499</v>
      </c>
      <c r="G383" s="1">
        <f t="shared" si="35"/>
        <v>0.27932433498040227</v>
      </c>
      <c r="H383" s="3">
        <f t="shared" si="36"/>
        <v>2.7932433498040225E-3</v>
      </c>
      <c r="K383">
        <v>3970726.8919598199</v>
      </c>
      <c r="L383">
        <v>51340.794656872597</v>
      </c>
      <c r="M383">
        <v>485707.774294195</v>
      </c>
      <c r="N383">
        <v>26456097.5797575</v>
      </c>
      <c r="O383">
        <v>30963873.040668398</v>
      </c>
      <c r="P383" s="1">
        <f t="shared" si="37"/>
        <v>0.19368448181106773</v>
      </c>
      <c r="Q383" s="3">
        <f t="shared" si="38"/>
        <v>1.9368448181106774E-3</v>
      </c>
      <c r="T383">
        <f t="shared" si="34"/>
        <v>1.4421616660692163</v>
      </c>
    </row>
    <row r="384" spans="1:21" x14ac:dyDescent="0.25">
      <c r="A384" t="s">
        <v>401</v>
      </c>
      <c r="B384">
        <v>3264589.1292045699</v>
      </c>
      <c r="C384">
        <v>15375.530892315701</v>
      </c>
      <c r="D384">
        <v>444022.20449523302</v>
      </c>
      <c r="E384">
        <v>8051114.0936762299</v>
      </c>
      <c r="F384">
        <v>11775100.9582683</v>
      </c>
      <c r="G384" s="1">
        <f t="shared" si="35"/>
        <v>0.1906099382497885</v>
      </c>
      <c r="H384" s="3">
        <f t="shared" si="36"/>
        <v>1.906099382497885E-3</v>
      </c>
      <c r="K384">
        <v>1193002.9656577001</v>
      </c>
      <c r="L384">
        <v>4878.1902404439797</v>
      </c>
      <c r="M384">
        <v>202271.194479325</v>
      </c>
      <c r="N384">
        <v>12349708.282733399</v>
      </c>
      <c r="O384">
        <v>13749860.633110899</v>
      </c>
      <c r="P384" s="1">
        <f t="shared" si="37"/>
        <v>3.9484852456334471E-2</v>
      </c>
      <c r="Q384" s="3">
        <f t="shared" si="38"/>
        <v>3.9484852456334475E-4</v>
      </c>
      <c r="T384">
        <f t="shared" si="34"/>
        <v>4.8274192859294667</v>
      </c>
    </row>
    <row r="385" spans="1:21" x14ac:dyDescent="0.25">
      <c r="A385" t="s">
        <v>402</v>
      </c>
      <c r="B385">
        <v>0</v>
      </c>
      <c r="C385">
        <v>0</v>
      </c>
      <c r="D385">
        <v>0</v>
      </c>
      <c r="E385">
        <v>0</v>
      </c>
      <c r="F385">
        <v>0</v>
      </c>
      <c r="G385" s="1"/>
      <c r="H385" s="3"/>
      <c r="I385" s="12" t="s">
        <v>215</v>
      </c>
      <c r="K385">
        <v>1440406.8322765001</v>
      </c>
      <c r="L385">
        <v>10046.892317219499</v>
      </c>
      <c r="M385">
        <v>776528.44936968002</v>
      </c>
      <c r="N385">
        <v>16448073.3987581</v>
      </c>
      <c r="O385">
        <v>18675055.5727215</v>
      </c>
      <c r="P385" s="1">
        <f t="shared" si="37"/>
        <v>6.1045199205814464E-2</v>
      </c>
      <c r="Q385" s="3">
        <f t="shared" si="38"/>
        <v>6.1045199205814465E-4</v>
      </c>
      <c r="T385">
        <f t="shared" si="34"/>
        <v>0</v>
      </c>
      <c r="U385" t="s">
        <v>217</v>
      </c>
    </row>
    <row r="386" spans="1:21" x14ac:dyDescent="0.25">
      <c r="A386" t="s">
        <v>403</v>
      </c>
      <c r="B386">
        <v>1563591.1309356401</v>
      </c>
      <c r="C386">
        <v>22665.265380992001</v>
      </c>
      <c r="D386">
        <v>111286.829580629</v>
      </c>
      <c r="E386">
        <v>4340520.3987691402</v>
      </c>
      <c r="F386">
        <v>6038063.6246664096</v>
      </c>
      <c r="G386" s="1">
        <f t="shared" si="35"/>
        <v>0.51946598484726136</v>
      </c>
      <c r="H386" s="3">
        <f t="shared" si="36"/>
        <v>5.1946598484726133E-3</v>
      </c>
      <c r="K386">
        <v>615456.88464479498</v>
      </c>
      <c r="L386">
        <v>3240.84506331993</v>
      </c>
      <c r="M386">
        <v>78466.592412023194</v>
      </c>
      <c r="N386">
        <v>7641425.5607812796</v>
      </c>
      <c r="O386">
        <v>8338589.8829014199</v>
      </c>
      <c r="P386" s="1">
        <f t="shared" si="37"/>
        <v>4.2393544613564788E-2</v>
      </c>
      <c r="Q386" s="3">
        <f t="shared" si="38"/>
        <v>4.2393544613564786E-4</v>
      </c>
      <c r="T386">
        <f t="shared" si="34"/>
        <v>12.253421825950507</v>
      </c>
    </row>
    <row r="387" spans="1:21" x14ac:dyDescent="0.25">
      <c r="A387" t="s">
        <v>404</v>
      </c>
      <c r="B387">
        <v>3783852.18611087</v>
      </c>
      <c r="C387">
        <v>1213030.11004325</v>
      </c>
      <c r="D387">
        <v>629149.35481372802</v>
      </c>
      <c r="E387">
        <v>11383914.004752301</v>
      </c>
      <c r="F387">
        <v>17009945.6557201</v>
      </c>
      <c r="G387" s="1">
        <f t="shared" si="35"/>
        <v>9.6295585579244083</v>
      </c>
      <c r="H387" s="3">
        <f t="shared" si="36"/>
        <v>9.6295585579244086E-2</v>
      </c>
      <c r="I387" s="1"/>
      <c r="J387" s="1"/>
      <c r="K387">
        <v>1458371.1732095899</v>
      </c>
      <c r="L387">
        <v>34642.316031394803</v>
      </c>
      <c r="M387">
        <v>129731.033772326</v>
      </c>
      <c r="N387">
        <v>13408262.321704799</v>
      </c>
      <c r="O387">
        <v>15031006.844718101</v>
      </c>
      <c r="P387" s="1">
        <f t="shared" si="37"/>
        <v>0.25769963385850975</v>
      </c>
      <c r="Q387" s="3">
        <f t="shared" si="38"/>
        <v>2.5769963385850977E-3</v>
      </c>
      <c r="T387">
        <f t="shared" si="34"/>
        <v>37.367373844277665</v>
      </c>
    </row>
    <row r="388" spans="1:21" x14ac:dyDescent="0.25">
      <c r="A388" t="s">
        <v>405</v>
      </c>
      <c r="B388">
        <v>1393055.58933967</v>
      </c>
      <c r="C388">
        <v>10982.1407964932</v>
      </c>
      <c r="D388">
        <v>333492.18306758499</v>
      </c>
      <c r="E388">
        <v>4797105.0221156897</v>
      </c>
      <c r="F388">
        <v>6534634.9353194404</v>
      </c>
      <c r="G388" s="1">
        <f t="shared" si="35"/>
        <v>0.22840976929880555</v>
      </c>
      <c r="H388" s="3">
        <f t="shared" si="36"/>
        <v>2.2840976929880555E-3</v>
      </c>
      <c r="K388">
        <v>748095.02530396101</v>
      </c>
      <c r="L388">
        <v>3752.2213162667399</v>
      </c>
      <c r="M388">
        <v>616033.59788952104</v>
      </c>
      <c r="N388">
        <v>10471360.1040207</v>
      </c>
      <c r="O388">
        <v>11839240.948530501</v>
      </c>
      <c r="P388" s="1">
        <f t="shared" si="37"/>
        <v>3.5820344448154039E-2</v>
      </c>
      <c r="Q388" s="3">
        <f t="shared" si="38"/>
        <v>3.5820344448154041E-4</v>
      </c>
      <c r="T388">
        <f t="shared" si="34"/>
        <v>6.3765374905705681</v>
      </c>
    </row>
    <row r="389" spans="1:21" x14ac:dyDescent="0.25">
      <c r="A389" t="s">
        <v>406</v>
      </c>
      <c r="B389">
        <v>844850.59375496104</v>
      </c>
      <c r="C389">
        <v>48705.897101299102</v>
      </c>
      <c r="D389">
        <v>327533.401508626</v>
      </c>
      <c r="E389">
        <v>5209638.4844724201</v>
      </c>
      <c r="F389">
        <v>6430728.3768373104</v>
      </c>
      <c r="G389" s="1">
        <f t="shared" si="35"/>
        <v>0.92625917146039771</v>
      </c>
      <c r="H389" s="3">
        <f t="shared" si="36"/>
        <v>9.2625917146039773E-3</v>
      </c>
      <c r="K389">
        <v>1620268.8340094001</v>
      </c>
      <c r="L389">
        <v>5398.1346913278603</v>
      </c>
      <c r="M389">
        <v>143034.77819710301</v>
      </c>
      <c r="N389">
        <v>11196268.2479988</v>
      </c>
      <c r="O389">
        <v>12964969.9948966</v>
      </c>
      <c r="P389" s="1">
        <f t="shared" si="37"/>
        <v>4.8190461194859077E-2</v>
      </c>
      <c r="Q389" s="3">
        <f t="shared" si="38"/>
        <v>4.8190461194859077E-4</v>
      </c>
      <c r="T389">
        <f t="shared" si="34"/>
        <v>19.220799064674864</v>
      </c>
    </row>
    <row r="390" spans="1:21" x14ac:dyDescent="0.25">
      <c r="A390" t="s">
        <v>407</v>
      </c>
      <c r="B390">
        <v>5089109.43151813</v>
      </c>
      <c r="C390">
        <v>13238.9833937166</v>
      </c>
      <c r="D390">
        <v>2352107.8291608999</v>
      </c>
      <c r="E390">
        <v>9558652.9036058299</v>
      </c>
      <c r="F390">
        <v>17013109.147678498</v>
      </c>
      <c r="G390" s="1">
        <f t="shared" si="35"/>
        <v>0.13831104185054224</v>
      </c>
      <c r="H390" s="3">
        <f t="shared" si="36"/>
        <v>1.3831104185054225E-3</v>
      </c>
      <c r="K390">
        <v>1064777.94515834</v>
      </c>
      <c r="L390">
        <v>12315.813618579001</v>
      </c>
      <c r="M390">
        <v>197729.60416667501</v>
      </c>
      <c r="N390">
        <v>10693555.3107624</v>
      </c>
      <c r="O390">
        <v>11968378.673706001</v>
      </c>
      <c r="P390" s="1">
        <f t="shared" si="37"/>
        <v>0.11503794016847095</v>
      </c>
      <c r="Q390" s="3">
        <f t="shared" si="38"/>
        <v>1.1503794016847096E-3</v>
      </c>
      <c r="T390">
        <f t="shared" si="34"/>
        <v>1.2023080528735848</v>
      </c>
    </row>
    <row r="391" spans="1:21" x14ac:dyDescent="0.25">
      <c r="A391" t="s">
        <v>408</v>
      </c>
      <c r="B391">
        <v>3063749.8986146301</v>
      </c>
      <c r="C391">
        <v>25112.783739704999</v>
      </c>
      <c r="D391">
        <v>2616672.1381755699</v>
      </c>
      <c r="E391">
        <v>8094180.3557653204</v>
      </c>
      <c r="F391">
        <v>13799715.1762952</v>
      </c>
      <c r="G391" s="1">
        <f t="shared" si="35"/>
        <v>0.30929766062413588</v>
      </c>
      <c r="H391" s="3">
        <f t="shared" si="36"/>
        <v>3.0929766062413586E-3</v>
      </c>
      <c r="I391" s="1"/>
      <c r="J391" s="1"/>
      <c r="K391">
        <v>2631934.8898293101</v>
      </c>
      <c r="L391">
        <v>11800.846185123</v>
      </c>
      <c r="M391">
        <v>530046.88013320905</v>
      </c>
      <c r="N391">
        <v>21940843.829029601</v>
      </c>
      <c r="O391">
        <v>25114626.445177302</v>
      </c>
      <c r="P391" s="1">
        <f t="shared" si="37"/>
        <v>5.3755920344515727E-2</v>
      </c>
      <c r="Q391" s="3">
        <f t="shared" si="38"/>
        <v>5.3755920344515727E-4</v>
      </c>
      <c r="T391">
        <f t="shared" si="34"/>
        <v>5.7537413301061813</v>
      </c>
    </row>
    <row r="392" spans="1:21" x14ac:dyDescent="0.25">
      <c r="A392" t="s">
        <v>409</v>
      </c>
      <c r="B392">
        <v>2423022.3837593198</v>
      </c>
      <c r="C392">
        <v>18706.460994130801</v>
      </c>
      <c r="D392">
        <v>746726.69643318304</v>
      </c>
      <c r="E392">
        <v>5848641.8386042798</v>
      </c>
      <c r="F392">
        <v>9037097.3797909208</v>
      </c>
      <c r="G392" s="1">
        <f t="shared" si="35"/>
        <v>0.31882308734613829</v>
      </c>
      <c r="H392" s="3">
        <f t="shared" si="36"/>
        <v>3.1882308734613829E-3</v>
      </c>
      <c r="K392">
        <v>1634381.0676466899</v>
      </c>
      <c r="L392">
        <v>20172.610242177299</v>
      </c>
      <c r="M392">
        <v>318252.77795209602</v>
      </c>
      <c r="N392">
        <v>17562020.3604993</v>
      </c>
      <c r="O392">
        <v>19534826.816340301</v>
      </c>
      <c r="P392" s="1">
        <f t="shared" ref="P392:P402" si="39">(L392/(L392+N392))*100</f>
        <v>0.11473318644464052</v>
      </c>
      <c r="Q392" s="3">
        <f t="shared" ref="Q392:Q402" si="40">(L392/(L392+N392))</f>
        <v>1.1473318644464052E-3</v>
      </c>
      <c r="T392">
        <f t="shared" ref="T392:T402" si="41">H392/Q392</f>
        <v>2.778821866853427</v>
      </c>
    </row>
    <row r="393" spans="1:21" x14ac:dyDescent="0.25">
      <c r="A393" t="s">
        <v>410</v>
      </c>
      <c r="B393">
        <v>988042.21987605502</v>
      </c>
      <c r="C393">
        <v>22491.393874661298</v>
      </c>
      <c r="D393">
        <v>191281.31217491199</v>
      </c>
      <c r="E393">
        <v>5200531.1273825904</v>
      </c>
      <c r="F393">
        <v>6402346.0533082196</v>
      </c>
      <c r="G393" s="1">
        <f t="shared" si="35"/>
        <v>0.43062027366574168</v>
      </c>
      <c r="H393" s="3">
        <f t="shared" si="36"/>
        <v>4.3062027366574168E-3</v>
      </c>
      <c r="I393" s="1"/>
      <c r="J393" s="1"/>
      <c r="K393">
        <v>672356.14451971499</v>
      </c>
      <c r="L393">
        <v>21888.902442287501</v>
      </c>
      <c r="M393">
        <v>152211.68630622499</v>
      </c>
      <c r="N393">
        <v>16466700.626409199</v>
      </c>
      <c r="O393">
        <v>17313157.359677501</v>
      </c>
      <c r="P393" s="1">
        <f t="shared" si="39"/>
        <v>0.13275181848627277</v>
      </c>
      <c r="Q393" s="3">
        <f t="shared" si="40"/>
        <v>1.3275181848627275E-3</v>
      </c>
      <c r="T393">
        <f t="shared" si="41"/>
        <v>3.2437994339811631</v>
      </c>
    </row>
    <row r="394" spans="1:21" x14ac:dyDescent="0.25">
      <c r="A394" t="s">
        <v>411</v>
      </c>
      <c r="B394">
        <v>2559227.08772102</v>
      </c>
      <c r="C394">
        <v>23550.603155725599</v>
      </c>
      <c r="D394">
        <v>1867152.9904767701</v>
      </c>
      <c r="E394">
        <v>9832501.9316131007</v>
      </c>
      <c r="F394">
        <v>14282432.612966601</v>
      </c>
      <c r="G394" s="1">
        <f t="shared" si="35"/>
        <v>0.23894559279840508</v>
      </c>
      <c r="H394" s="3">
        <f t="shared" si="36"/>
        <v>2.3894559279840507E-3</v>
      </c>
      <c r="K394">
        <v>814888.76782739302</v>
      </c>
      <c r="L394">
        <v>14763.4635214921</v>
      </c>
      <c r="M394">
        <v>326347.36934356502</v>
      </c>
      <c r="N394">
        <v>14307412.9179953</v>
      </c>
      <c r="O394">
        <v>15463412.5186878</v>
      </c>
      <c r="P394" s="1">
        <f t="shared" si="39"/>
        <v>0.10308114582742328</v>
      </c>
      <c r="Q394" s="3">
        <f t="shared" si="40"/>
        <v>1.0308114582742328E-3</v>
      </c>
      <c r="T394">
        <f t="shared" si="41"/>
        <v>2.3180339225026056</v>
      </c>
    </row>
    <row r="395" spans="1:21" x14ac:dyDescent="0.25">
      <c r="A395" t="s">
        <v>412</v>
      </c>
      <c r="B395">
        <v>5275545.9613552196</v>
      </c>
      <c r="C395">
        <v>21902.137208436601</v>
      </c>
      <c r="D395">
        <v>860190.01013272896</v>
      </c>
      <c r="E395">
        <v>7817793.6287791496</v>
      </c>
      <c r="F395">
        <v>13975431.7374755</v>
      </c>
      <c r="G395" s="1">
        <f t="shared" si="35"/>
        <v>0.27937483624630849</v>
      </c>
      <c r="H395" s="3">
        <f t="shared" si="36"/>
        <v>2.7937483624630851E-3</v>
      </c>
      <c r="K395">
        <v>2450096.1651677601</v>
      </c>
      <c r="L395">
        <v>22690.473243502602</v>
      </c>
      <c r="M395">
        <v>193992.613991091</v>
      </c>
      <c r="N395">
        <v>19007370.9317545</v>
      </c>
      <c r="O395">
        <v>21674150.184156802</v>
      </c>
      <c r="P395" s="1">
        <f t="shared" si="39"/>
        <v>0.1192348924189138</v>
      </c>
      <c r="Q395" s="3">
        <f t="shared" si="40"/>
        <v>1.192348924189138E-3</v>
      </c>
      <c r="T395">
        <f t="shared" si="41"/>
        <v>2.3430627610646657</v>
      </c>
    </row>
    <row r="396" spans="1:21" x14ac:dyDescent="0.25">
      <c r="A396" t="s">
        <v>413</v>
      </c>
      <c r="B396">
        <v>2131333.6471557799</v>
      </c>
      <c r="C396">
        <v>20522.360132551399</v>
      </c>
      <c r="D396">
        <v>469962.65438553499</v>
      </c>
      <c r="E396">
        <v>6283721.9530474702</v>
      </c>
      <c r="F396">
        <v>8905540.6147213504</v>
      </c>
      <c r="G396" s="1">
        <f t="shared" si="35"/>
        <v>0.32553243676876786</v>
      </c>
      <c r="H396" s="3">
        <f t="shared" si="36"/>
        <v>3.2553243676876789E-3</v>
      </c>
      <c r="I396" s="1"/>
      <c r="J396" s="1"/>
      <c r="K396">
        <v>2500409.3751838701</v>
      </c>
      <c r="L396">
        <v>48812.728140075698</v>
      </c>
      <c r="M396">
        <v>586954.07619355095</v>
      </c>
      <c r="N396">
        <v>24532617.5809853</v>
      </c>
      <c r="O396">
        <v>27668793.7605028</v>
      </c>
      <c r="P396" s="1">
        <f t="shared" si="39"/>
        <v>0.19857562202942655</v>
      </c>
      <c r="Q396" s="3">
        <f t="shared" si="40"/>
        <v>1.9857562202942654E-3</v>
      </c>
      <c r="T396">
        <f t="shared" si="41"/>
        <v>1.6393373639818076</v>
      </c>
    </row>
    <row r="397" spans="1:21" x14ac:dyDescent="0.25">
      <c r="A397" t="s">
        <v>414</v>
      </c>
      <c r="B397">
        <v>3895185.0581797198</v>
      </c>
      <c r="C397">
        <v>4864.8862546133296</v>
      </c>
      <c r="D397">
        <v>1134008.0227083201</v>
      </c>
      <c r="E397">
        <v>4545935.56589795</v>
      </c>
      <c r="F397">
        <v>9579993.5330406204</v>
      </c>
      <c r="G397" s="1">
        <f t="shared" si="35"/>
        <v>0.1069017704855022</v>
      </c>
      <c r="H397" s="3">
        <f t="shared" si="36"/>
        <v>1.069017704855022E-3</v>
      </c>
      <c r="K397">
        <v>2398404.7146657701</v>
      </c>
      <c r="L397">
        <v>5858.5134596754297</v>
      </c>
      <c r="M397">
        <v>406670.479196503</v>
      </c>
      <c r="N397">
        <v>21037026.597447298</v>
      </c>
      <c r="O397">
        <v>23847960.3047693</v>
      </c>
      <c r="P397" s="1">
        <f t="shared" si="39"/>
        <v>2.784082804614486E-2</v>
      </c>
      <c r="Q397" s="3">
        <f t="shared" si="40"/>
        <v>2.7840828046144862E-4</v>
      </c>
      <c r="T397">
        <f t="shared" si="41"/>
        <v>3.8397482398266871</v>
      </c>
    </row>
    <row r="398" spans="1:21" x14ac:dyDescent="0.25">
      <c r="A398" t="s">
        <v>415</v>
      </c>
      <c r="B398">
        <v>2745863.6630736399</v>
      </c>
      <c r="C398">
        <v>2369775.5961775398</v>
      </c>
      <c r="D398">
        <v>702393.76991222496</v>
      </c>
      <c r="E398">
        <v>5826105.9762474699</v>
      </c>
      <c r="F398">
        <v>11644139.0054108</v>
      </c>
      <c r="G398" s="1">
        <f t="shared" si="35"/>
        <v>28.914224482582014</v>
      </c>
      <c r="H398" s="3">
        <f t="shared" si="36"/>
        <v>0.28914224482582013</v>
      </c>
      <c r="K398">
        <v>482003.28628338402</v>
      </c>
      <c r="L398">
        <v>28903.9686827142</v>
      </c>
      <c r="M398">
        <v>258791.036768855</v>
      </c>
      <c r="N398">
        <v>11813434.026183199</v>
      </c>
      <c r="O398">
        <v>12583132.3179182</v>
      </c>
      <c r="P398" s="1">
        <f t="shared" si="39"/>
        <v>0.24407316101976761</v>
      </c>
      <c r="Q398" s="3">
        <f t="shared" si="40"/>
        <v>2.440731610197676E-3</v>
      </c>
      <c r="T398">
        <f t="shared" si="41"/>
        <v>118.46539931623303</v>
      </c>
    </row>
    <row r="399" spans="1:21" x14ac:dyDescent="0.25">
      <c r="A399" t="s">
        <v>416</v>
      </c>
      <c r="B399">
        <v>1779438.87499759</v>
      </c>
      <c r="C399">
        <v>24368.0709766982</v>
      </c>
      <c r="D399">
        <v>547875.28025462304</v>
      </c>
      <c r="E399">
        <v>7984053.1168135898</v>
      </c>
      <c r="F399">
        <v>10335735.3430425</v>
      </c>
      <c r="G399" s="1">
        <f t="shared" si="35"/>
        <v>0.30428058671352082</v>
      </c>
      <c r="H399" s="3">
        <f t="shared" si="36"/>
        <v>3.0428058671352082E-3</v>
      </c>
      <c r="I399" s="1"/>
      <c r="J399" s="1"/>
      <c r="K399">
        <v>1195711.7620887</v>
      </c>
      <c r="L399">
        <v>27263.912719804099</v>
      </c>
      <c r="M399">
        <v>976680.93340093503</v>
      </c>
      <c r="N399">
        <v>24258358.173812699</v>
      </c>
      <c r="O399">
        <v>26458014.7820221</v>
      </c>
      <c r="P399" s="1">
        <f t="shared" si="39"/>
        <v>0.11226359622438165</v>
      </c>
      <c r="Q399" s="3">
        <f t="shared" si="40"/>
        <v>1.1226359622438164E-3</v>
      </c>
      <c r="T399">
        <f t="shared" si="41"/>
        <v>2.7104118961711698</v>
      </c>
    </row>
    <row r="400" spans="1:21" x14ac:dyDescent="0.25">
      <c r="A400" t="s">
        <v>417</v>
      </c>
      <c r="B400">
        <v>3805364.61702953</v>
      </c>
      <c r="C400">
        <v>28412.212647326702</v>
      </c>
      <c r="D400">
        <v>2964454.2263859999</v>
      </c>
      <c r="E400">
        <v>10478906.266677801</v>
      </c>
      <c r="F400">
        <v>17277137.3227407</v>
      </c>
      <c r="G400" s="1">
        <f t="shared" si="35"/>
        <v>0.27040403032640908</v>
      </c>
      <c r="H400" s="3">
        <f t="shared" si="36"/>
        <v>2.7040403032640909E-3</v>
      </c>
      <c r="K400">
        <v>958226.46953477606</v>
      </c>
      <c r="L400">
        <v>2703.9583306091999</v>
      </c>
      <c r="M400">
        <v>355373.73644565901</v>
      </c>
      <c r="N400">
        <v>11273738.826524001</v>
      </c>
      <c r="O400">
        <v>12590042.990835</v>
      </c>
      <c r="P400" s="1">
        <f t="shared" si="39"/>
        <v>2.3978823660958812E-2</v>
      </c>
      <c r="Q400" s="3">
        <f t="shared" si="40"/>
        <v>2.3978823660958813E-4</v>
      </c>
      <c r="T400">
        <f t="shared" si="41"/>
        <v>11.276784639217651</v>
      </c>
    </row>
    <row r="401" spans="1:21" x14ac:dyDescent="0.25">
      <c r="A401" t="s">
        <v>418</v>
      </c>
      <c r="B401">
        <v>1677058.4080076199</v>
      </c>
      <c r="C401">
        <v>2787.7281886498199</v>
      </c>
      <c r="D401">
        <v>517130.25982462399</v>
      </c>
      <c r="E401">
        <v>2817584.21093689</v>
      </c>
      <c r="F401">
        <v>5014560.6069577802</v>
      </c>
      <c r="G401" s="1">
        <f t="shared" si="35"/>
        <v>9.8842572852790425E-2</v>
      </c>
      <c r="H401" s="3">
        <f t="shared" si="36"/>
        <v>9.8842572852790426E-4</v>
      </c>
      <c r="I401" s="1"/>
      <c r="J401" s="1"/>
      <c r="K401">
        <v>1793765.2213572001</v>
      </c>
      <c r="L401">
        <v>12055.861556579301</v>
      </c>
      <c r="M401">
        <v>430973.06039423402</v>
      </c>
      <c r="N401">
        <v>20865637.748957701</v>
      </c>
      <c r="O401">
        <v>23102431.8922657</v>
      </c>
      <c r="P401" s="1">
        <f t="shared" si="39"/>
        <v>5.7745179048454914E-2</v>
      </c>
      <c r="Q401" s="3">
        <f t="shared" si="40"/>
        <v>5.7745179048454911E-4</v>
      </c>
      <c r="T401">
        <f t="shared" si="41"/>
        <v>1.7117025954642902</v>
      </c>
    </row>
    <row r="402" spans="1:21" x14ac:dyDescent="0.25">
      <c r="A402" t="s">
        <v>419</v>
      </c>
      <c r="B402">
        <v>1873571.4057947299</v>
      </c>
      <c r="C402">
        <v>10057.682887916601</v>
      </c>
      <c r="D402">
        <v>234571.15944063701</v>
      </c>
      <c r="E402">
        <v>6185327.99785263</v>
      </c>
      <c r="F402">
        <v>8303528.2459759302</v>
      </c>
      <c r="G402" s="1">
        <f t="shared" si="35"/>
        <v>0.16234151360717847</v>
      </c>
      <c r="H402" s="3">
        <f t="shared" si="36"/>
        <v>1.6234151360717847E-3</v>
      </c>
      <c r="K402">
        <v>2100905.4064616798</v>
      </c>
      <c r="L402">
        <v>18057.670750213601</v>
      </c>
      <c r="M402">
        <v>413125.39810118201</v>
      </c>
      <c r="N402">
        <v>20826470.679320998</v>
      </c>
      <c r="O402">
        <v>23358559.154634099</v>
      </c>
      <c r="P402" s="1">
        <f t="shared" si="39"/>
        <v>8.6630267890671228E-2</v>
      </c>
      <c r="Q402" s="3">
        <f t="shared" si="40"/>
        <v>8.6630267890671232E-4</v>
      </c>
      <c r="T402">
        <f t="shared" si="41"/>
        <v>1.8739583468915972</v>
      </c>
    </row>
    <row r="403" spans="1:21" x14ac:dyDescent="0.25">
      <c r="A403" t="s">
        <v>422</v>
      </c>
      <c r="B403">
        <v>357644.58930068498</v>
      </c>
      <c r="C403">
        <v>11397.467603413799</v>
      </c>
      <c r="D403">
        <v>96361.622613110594</v>
      </c>
      <c r="E403">
        <v>1913912.12510255</v>
      </c>
      <c r="F403">
        <v>2379315.8046197598</v>
      </c>
      <c r="G403" s="1">
        <f t="shared" ref="G403:G466" si="42">(C403/(C403+E403))*100</f>
        <v>0.59198103238009658</v>
      </c>
      <c r="H403" s="3">
        <f t="shared" ref="H403:H466" si="43">(C403/(C403+E403))</f>
        <v>5.9198103238009663E-3</v>
      </c>
      <c r="K403">
        <v>884585.84808428597</v>
      </c>
      <c r="L403">
        <v>9234.0987659758794</v>
      </c>
      <c r="M403">
        <v>101792.51653348299</v>
      </c>
      <c r="N403">
        <v>13938216.152837301</v>
      </c>
      <c r="O403">
        <v>14933828.616221</v>
      </c>
      <c r="P403" s="1">
        <f t="shared" ref="P403:P466" si="44">(L403/(L403+N403))*100</f>
        <v>6.6206357430200605E-2</v>
      </c>
      <c r="Q403" s="3">
        <f t="shared" ref="Q403:Q466" si="45">(L403/(L403+N403))</f>
        <v>6.6206357430200608E-4</v>
      </c>
      <c r="T403">
        <f t="shared" ref="T403:T466" si="46">H403/Q403</f>
        <v>8.9414529866592432</v>
      </c>
    </row>
    <row r="404" spans="1:21" x14ac:dyDescent="0.25">
      <c r="A404" t="s">
        <v>423</v>
      </c>
      <c r="B404">
        <v>1047212.4943632</v>
      </c>
      <c r="C404">
        <v>64484.733678856603</v>
      </c>
      <c r="D404">
        <v>451370.05690291798</v>
      </c>
      <c r="E404">
        <v>4291389.3039101604</v>
      </c>
      <c r="F404">
        <v>5854456.5888551399</v>
      </c>
      <c r="G404" s="1">
        <f t="shared" si="42"/>
        <v>1.4804085958956932</v>
      </c>
      <c r="H404" s="3">
        <f t="shared" si="43"/>
        <v>1.4804085958956931E-2</v>
      </c>
      <c r="K404">
        <v>1056566.7162977399</v>
      </c>
      <c r="L404">
        <v>5020.2570127847002</v>
      </c>
      <c r="M404">
        <v>86781.331241565596</v>
      </c>
      <c r="N404">
        <v>9500754.4060470201</v>
      </c>
      <c r="O404">
        <v>10649122.7105991</v>
      </c>
      <c r="P404" s="1">
        <f t="shared" si="44"/>
        <v>5.2812707966809036E-2</v>
      </c>
      <c r="Q404" s="3">
        <f t="shared" si="45"/>
        <v>5.2812707966809036E-4</v>
      </c>
      <c r="T404">
        <f t="shared" si="46"/>
        <v>28.031294983511902</v>
      </c>
    </row>
    <row r="405" spans="1:21" x14ac:dyDescent="0.25">
      <c r="A405" t="s">
        <v>424</v>
      </c>
      <c r="B405">
        <v>3709522.4253391102</v>
      </c>
      <c r="C405">
        <v>20061.9518016849</v>
      </c>
      <c r="D405">
        <v>1776527.3747100399</v>
      </c>
      <c r="E405">
        <v>4694064.2891141698</v>
      </c>
      <c r="F405">
        <v>10200176.040965</v>
      </c>
      <c r="G405" s="1">
        <f t="shared" si="42"/>
        <v>0.42557094944889062</v>
      </c>
      <c r="H405" s="3">
        <f t="shared" si="43"/>
        <v>4.2557094944889063E-3</v>
      </c>
      <c r="K405">
        <v>2384611.2558969199</v>
      </c>
      <c r="L405">
        <v>119097.492631375</v>
      </c>
      <c r="M405">
        <v>414628.65184321499</v>
      </c>
      <c r="N405">
        <v>18934037.920889702</v>
      </c>
      <c r="O405">
        <v>21852375.321261201</v>
      </c>
      <c r="P405" s="1">
        <f t="shared" si="44"/>
        <v>0.62508080715606174</v>
      </c>
      <c r="Q405" s="3">
        <f t="shared" si="45"/>
        <v>6.2508080715606177E-3</v>
      </c>
      <c r="T405">
        <f t="shared" si="46"/>
        <v>0.68082549420308758</v>
      </c>
      <c r="U405" t="s">
        <v>217</v>
      </c>
    </row>
    <row r="406" spans="1:21" x14ac:dyDescent="0.25">
      <c r="A406" t="s">
        <v>425</v>
      </c>
      <c r="B406">
        <v>3309162.1975453799</v>
      </c>
      <c r="C406">
        <v>13977.5885258781</v>
      </c>
      <c r="D406">
        <v>171673.98856021199</v>
      </c>
      <c r="E406">
        <v>8302260.0088818297</v>
      </c>
      <c r="F406">
        <v>11797073.7835133</v>
      </c>
      <c r="G406" s="1">
        <f t="shared" si="42"/>
        <v>0.1680758679890906</v>
      </c>
      <c r="H406" s="3">
        <f t="shared" si="43"/>
        <v>1.680758679890906E-3</v>
      </c>
      <c r="K406">
        <v>1880207.34004563</v>
      </c>
      <c r="L406">
        <v>14944.4921903084</v>
      </c>
      <c r="M406">
        <v>224205.038650603</v>
      </c>
      <c r="N406">
        <v>27473272.751285501</v>
      </c>
      <c r="O406">
        <v>29592629.622172002</v>
      </c>
      <c r="P406" s="1">
        <f t="shared" si="44"/>
        <v>5.4366902218278272E-2</v>
      </c>
      <c r="Q406" s="3">
        <f t="shared" si="45"/>
        <v>5.4366902218278273E-4</v>
      </c>
      <c r="T406">
        <f t="shared" si="46"/>
        <v>3.0915108481678972</v>
      </c>
    </row>
    <row r="407" spans="1:21" x14ac:dyDescent="0.25">
      <c r="A407" t="s">
        <v>426</v>
      </c>
      <c r="B407">
        <v>312917.35067736299</v>
      </c>
      <c r="C407">
        <v>16190.8463946188</v>
      </c>
      <c r="D407">
        <v>37387.505527794499</v>
      </c>
      <c r="E407">
        <v>3905172.8726189798</v>
      </c>
      <c r="F407">
        <v>4271668.5752187604</v>
      </c>
      <c r="G407" s="1">
        <f t="shared" si="42"/>
        <v>0.41288815715088872</v>
      </c>
      <c r="H407" s="3">
        <f t="shared" si="43"/>
        <v>4.1288815715088871E-3</v>
      </c>
      <c r="K407">
        <v>905114.35090223898</v>
      </c>
      <c r="L407">
        <v>6906.8311651138702</v>
      </c>
      <c r="M407">
        <v>162672.51544158999</v>
      </c>
      <c r="N407">
        <v>15082116.5716708</v>
      </c>
      <c r="O407">
        <v>16156810.2691797</v>
      </c>
      <c r="P407" s="1">
        <f t="shared" si="44"/>
        <v>4.577387800867061E-2</v>
      </c>
      <c r="Q407" s="3">
        <f t="shared" si="45"/>
        <v>4.5773878008670607E-4</v>
      </c>
      <c r="T407">
        <f t="shared" si="46"/>
        <v>9.0201699115962679</v>
      </c>
    </row>
    <row r="408" spans="1:21" x14ac:dyDescent="0.25">
      <c r="A408" t="s">
        <v>427</v>
      </c>
      <c r="B408">
        <v>2543451.2344417102</v>
      </c>
      <c r="C408">
        <v>7291.8145415440304</v>
      </c>
      <c r="D408">
        <v>620467.45954276703</v>
      </c>
      <c r="E408">
        <v>4880585.2955208002</v>
      </c>
      <c r="F408">
        <v>8051795.8040468199</v>
      </c>
      <c r="G408" s="1">
        <f t="shared" si="42"/>
        <v>0.14918162583369499</v>
      </c>
      <c r="H408" s="3">
        <f t="shared" si="43"/>
        <v>1.4918162583369499E-3</v>
      </c>
      <c r="K408">
        <v>590923.64590301504</v>
      </c>
      <c r="L408">
        <v>2502.2718566684498</v>
      </c>
      <c r="M408">
        <v>191278.03362601</v>
      </c>
      <c r="N408">
        <v>7934854.6796850804</v>
      </c>
      <c r="O408">
        <v>8719558.6310707796</v>
      </c>
      <c r="P408" s="1">
        <f t="shared" si="44"/>
        <v>3.1525252951896156E-2</v>
      </c>
      <c r="Q408" s="3">
        <f t="shared" si="45"/>
        <v>3.1525252951896153E-4</v>
      </c>
      <c r="T408">
        <f t="shared" si="46"/>
        <v>4.7321309700933627</v>
      </c>
    </row>
    <row r="409" spans="1:21" x14ac:dyDescent="0.25">
      <c r="A409" t="s">
        <v>428</v>
      </c>
      <c r="B409">
        <v>5237924.3632811904</v>
      </c>
      <c r="C409">
        <v>15837.1762505774</v>
      </c>
      <c r="D409">
        <v>1778424.51972977</v>
      </c>
      <c r="E409">
        <v>5314199.8384674704</v>
      </c>
      <c r="F409">
        <v>12346385.897729</v>
      </c>
      <c r="G409" s="1">
        <f t="shared" si="42"/>
        <v>0.29713069922114166</v>
      </c>
      <c r="H409" s="3">
        <f t="shared" si="43"/>
        <v>2.9713069922114167E-3</v>
      </c>
      <c r="K409">
        <v>2078585.04656883</v>
      </c>
      <c r="L409">
        <v>34479.080217260504</v>
      </c>
      <c r="M409">
        <v>340306.153091677</v>
      </c>
      <c r="N409">
        <v>14899933.180411</v>
      </c>
      <c r="O409">
        <v>17353303.4602887</v>
      </c>
      <c r="P409" s="1">
        <f t="shared" si="44"/>
        <v>0.23087001761802201</v>
      </c>
      <c r="Q409" s="3">
        <f t="shared" si="45"/>
        <v>2.3087001761802201E-3</v>
      </c>
      <c r="T409">
        <f t="shared" si="46"/>
        <v>1.2870042731696283</v>
      </c>
    </row>
    <row r="410" spans="1:21" x14ac:dyDescent="0.25">
      <c r="A410" t="s">
        <v>429</v>
      </c>
      <c r="B410">
        <v>3121582.0316238999</v>
      </c>
      <c r="C410">
        <v>7403.6565571586098</v>
      </c>
      <c r="D410">
        <v>1303404.3228863999</v>
      </c>
      <c r="E410">
        <v>6200685.6596704703</v>
      </c>
      <c r="F410">
        <v>10633075.6707379</v>
      </c>
      <c r="G410" s="1">
        <f t="shared" si="42"/>
        <v>0.11925821585404431</v>
      </c>
      <c r="H410" s="3">
        <f t="shared" si="43"/>
        <v>1.1925821585404431E-3</v>
      </c>
      <c r="K410">
        <v>3209003.4850713401</v>
      </c>
      <c r="L410">
        <v>8781.1375310417698</v>
      </c>
      <c r="M410">
        <v>282440.69100916298</v>
      </c>
      <c r="N410">
        <v>20838425.278437302</v>
      </c>
      <c r="O410">
        <v>24338650.592048898</v>
      </c>
      <c r="P410" s="1">
        <f t="shared" si="44"/>
        <v>4.2121411165745824E-2</v>
      </c>
      <c r="Q410" s="3">
        <f t="shared" si="45"/>
        <v>4.2121411165745823E-4</v>
      </c>
      <c r="T410">
        <f t="shared" si="46"/>
        <v>2.8312967812205696</v>
      </c>
    </row>
    <row r="411" spans="1:21" x14ac:dyDescent="0.25">
      <c r="A411" t="s">
        <v>430</v>
      </c>
      <c r="B411">
        <v>2751128.160811</v>
      </c>
      <c r="C411">
        <v>16925.6091611378</v>
      </c>
      <c r="D411">
        <v>795186.59426006896</v>
      </c>
      <c r="E411">
        <v>7257126.4129568096</v>
      </c>
      <c r="F411">
        <v>10820366.777189</v>
      </c>
      <c r="G411" s="1">
        <f t="shared" si="42"/>
        <v>0.23268474173229323</v>
      </c>
      <c r="H411" s="3">
        <f t="shared" si="43"/>
        <v>2.3268474173229322E-3</v>
      </c>
      <c r="K411">
        <v>1549985.6774681299</v>
      </c>
      <c r="L411">
        <v>23062.266078180201</v>
      </c>
      <c r="M411">
        <v>198139.19299170899</v>
      </c>
      <c r="N411">
        <v>23995968.388636</v>
      </c>
      <c r="O411">
        <v>25767155.5251741</v>
      </c>
      <c r="P411" s="1">
        <f t="shared" si="44"/>
        <v>9.601663951269325E-2</v>
      </c>
      <c r="Q411" s="3">
        <f t="shared" si="45"/>
        <v>9.6016639512693251E-4</v>
      </c>
      <c r="T411">
        <f t="shared" si="46"/>
        <v>2.4233793529248921</v>
      </c>
    </row>
    <row r="412" spans="1:21" x14ac:dyDescent="0.25">
      <c r="A412" t="s">
        <v>431</v>
      </c>
      <c r="B412">
        <v>5036277.0793431597</v>
      </c>
      <c r="C412">
        <v>26444.0620277462</v>
      </c>
      <c r="D412">
        <v>1549315.9299278499</v>
      </c>
      <c r="E412">
        <v>9177520.4425562192</v>
      </c>
      <c r="F412">
        <v>15789557.5138549</v>
      </c>
      <c r="G412" s="1">
        <f t="shared" si="42"/>
        <v>0.28731164722088975</v>
      </c>
      <c r="H412" s="3">
        <f t="shared" si="43"/>
        <v>2.8731164722088976E-3</v>
      </c>
      <c r="K412">
        <v>810543.90545477404</v>
      </c>
      <c r="L412">
        <v>3233.5366613624401</v>
      </c>
      <c r="M412">
        <v>133850.440191153</v>
      </c>
      <c r="N412">
        <v>11221810.422067801</v>
      </c>
      <c r="O412">
        <v>12169438.304375101</v>
      </c>
      <c r="P412" s="1">
        <f t="shared" si="44"/>
        <v>2.8806449874504751E-2</v>
      </c>
      <c r="Q412" s="3">
        <f t="shared" si="45"/>
        <v>2.8806449874504752E-4</v>
      </c>
      <c r="T412">
        <f t="shared" si="46"/>
        <v>9.9738651750758063</v>
      </c>
    </row>
    <row r="413" spans="1:21" x14ac:dyDescent="0.25">
      <c r="A413" t="s">
        <v>432</v>
      </c>
      <c r="B413">
        <v>7106564.0799468998</v>
      </c>
      <c r="C413">
        <v>16996.217470571701</v>
      </c>
      <c r="D413">
        <v>1345196.1938032701</v>
      </c>
      <c r="E413">
        <v>4530178.2668615403</v>
      </c>
      <c r="F413">
        <v>12998934.7580822</v>
      </c>
      <c r="G413" s="1">
        <f t="shared" si="42"/>
        <v>0.37377535278521651</v>
      </c>
      <c r="H413" s="3">
        <f t="shared" si="43"/>
        <v>3.7377535278521651E-3</v>
      </c>
      <c r="K413">
        <v>3799308.1184663102</v>
      </c>
      <c r="L413">
        <v>23446.325730201199</v>
      </c>
      <c r="M413">
        <v>209083.11380357499</v>
      </c>
      <c r="N413">
        <v>20387499.7576175</v>
      </c>
      <c r="O413">
        <v>24419337.315617599</v>
      </c>
      <c r="P413" s="1">
        <f t="shared" si="44"/>
        <v>0.11487133244318309</v>
      </c>
      <c r="Q413" s="3">
        <f t="shared" si="45"/>
        <v>1.148713324431831E-3</v>
      </c>
      <c r="T413">
        <f t="shared" si="46"/>
        <v>3.2538610359559534</v>
      </c>
    </row>
    <row r="414" spans="1:21" x14ac:dyDescent="0.25">
      <c r="A414" t="s">
        <v>433</v>
      </c>
      <c r="B414">
        <v>1853984.7128788</v>
      </c>
      <c r="C414">
        <v>17799.141439379298</v>
      </c>
      <c r="D414">
        <v>292753.54404425703</v>
      </c>
      <c r="E414">
        <v>3272632.0407732101</v>
      </c>
      <c r="F414">
        <v>5437169.4391356502</v>
      </c>
      <c r="G414" s="1">
        <f t="shared" si="42"/>
        <v>0.54093644430547239</v>
      </c>
      <c r="H414" s="3">
        <f t="shared" si="43"/>
        <v>5.4093644430547238E-3</v>
      </c>
      <c r="K414">
        <v>447403.096573647</v>
      </c>
      <c r="L414">
        <v>8410.6500598009206</v>
      </c>
      <c r="M414">
        <v>41381.515827157396</v>
      </c>
      <c r="N414">
        <v>8826838.7608536594</v>
      </c>
      <c r="O414">
        <v>9324034.0233142693</v>
      </c>
      <c r="P414" s="1">
        <f t="shared" si="44"/>
        <v>9.5194257328060639E-2</v>
      </c>
      <c r="Q414" s="3">
        <f t="shared" si="45"/>
        <v>9.5194257328060636E-4</v>
      </c>
      <c r="T414">
        <f t="shared" si="46"/>
        <v>5.6824482851027955</v>
      </c>
    </row>
    <row r="415" spans="1:21" x14ac:dyDescent="0.25">
      <c r="A415" t="s">
        <v>434</v>
      </c>
      <c r="B415">
        <v>2065795.7487492301</v>
      </c>
      <c r="C415">
        <v>20062.201450827401</v>
      </c>
      <c r="D415">
        <v>787215.47030960105</v>
      </c>
      <c r="E415">
        <v>5918138.0679158298</v>
      </c>
      <c r="F415">
        <v>8791211.4884255007</v>
      </c>
      <c r="G415" s="1">
        <f t="shared" si="42"/>
        <v>0.33784986259763089</v>
      </c>
      <c r="H415" s="3">
        <f t="shared" si="43"/>
        <v>3.3784986259763092E-3</v>
      </c>
      <c r="K415">
        <v>1569313.35435664</v>
      </c>
      <c r="L415">
        <v>17680.149074642301</v>
      </c>
      <c r="M415">
        <v>257466.943140774</v>
      </c>
      <c r="N415">
        <v>14141489.405866601</v>
      </c>
      <c r="O415">
        <v>15985949.852438699</v>
      </c>
      <c r="P415" s="1">
        <f t="shared" si="44"/>
        <v>0.12486713296312149</v>
      </c>
      <c r="Q415" s="3">
        <f t="shared" si="45"/>
        <v>1.2486713296312149E-3</v>
      </c>
      <c r="T415">
        <f t="shared" si="46"/>
        <v>2.7056748607931294</v>
      </c>
    </row>
    <row r="416" spans="1:21" x14ac:dyDescent="0.25">
      <c r="A416" t="s">
        <v>435</v>
      </c>
      <c r="B416">
        <v>3366790.3151558298</v>
      </c>
      <c r="C416">
        <v>7618.5687338303696</v>
      </c>
      <c r="D416">
        <v>369520.01871509402</v>
      </c>
      <c r="E416">
        <v>5204364.3139722096</v>
      </c>
      <c r="F416">
        <v>8948293.2165769599</v>
      </c>
      <c r="G416" s="1">
        <f t="shared" si="42"/>
        <v>0.14617409353184294</v>
      </c>
      <c r="H416" s="3">
        <f t="shared" si="43"/>
        <v>1.4617409353184293E-3</v>
      </c>
      <c r="K416">
        <v>2475972.8890360901</v>
      </c>
      <c r="L416">
        <v>9658.04209226487</v>
      </c>
      <c r="M416">
        <v>217984.35438428901</v>
      </c>
      <c r="N416">
        <v>19731707.962219998</v>
      </c>
      <c r="O416">
        <v>22435323.247732699</v>
      </c>
      <c r="P416" s="1">
        <f t="shared" si="44"/>
        <v>4.892286628065752E-2</v>
      </c>
      <c r="Q416" s="3">
        <f t="shared" si="45"/>
        <v>4.8922866280657522E-4</v>
      </c>
      <c r="T416">
        <f t="shared" si="46"/>
        <v>2.9878481095788803</v>
      </c>
    </row>
    <row r="417" spans="1:20" x14ac:dyDescent="0.25">
      <c r="A417" t="s">
        <v>436</v>
      </c>
      <c r="B417">
        <v>1132024.67302704</v>
      </c>
      <c r="C417">
        <v>13786.839938769501</v>
      </c>
      <c r="D417">
        <v>307507.265612263</v>
      </c>
      <c r="E417">
        <v>5461227.24545117</v>
      </c>
      <c r="F417">
        <v>6914546.0240292503</v>
      </c>
      <c r="G417" s="1">
        <f t="shared" si="42"/>
        <v>0.25181378027062334</v>
      </c>
      <c r="H417" s="3">
        <f t="shared" si="43"/>
        <v>2.5181378027062337E-3</v>
      </c>
      <c r="K417">
        <v>2211373.89989156</v>
      </c>
      <c r="L417">
        <v>20590.3721411525</v>
      </c>
      <c r="M417">
        <v>270090.87524804199</v>
      </c>
      <c r="N417">
        <v>19749458.719156802</v>
      </c>
      <c r="O417">
        <v>22251513.866437599</v>
      </c>
      <c r="P417" s="1">
        <f t="shared" si="44"/>
        <v>0.10414932227060389</v>
      </c>
      <c r="Q417" s="3">
        <f t="shared" si="45"/>
        <v>1.0414932227060388E-3</v>
      </c>
      <c r="T417">
        <f t="shared" si="46"/>
        <v>2.4178148717699122</v>
      </c>
    </row>
    <row r="418" spans="1:20" x14ac:dyDescent="0.25">
      <c r="A418" t="s">
        <v>437</v>
      </c>
      <c r="B418">
        <v>2353605.1602999801</v>
      </c>
      <c r="C418">
        <v>11539.691743036999</v>
      </c>
      <c r="D418">
        <v>1372897.7766438101</v>
      </c>
      <c r="E418">
        <v>9001638.5793251302</v>
      </c>
      <c r="F418">
        <v>12739681.208011899</v>
      </c>
      <c r="G418" s="1">
        <f t="shared" si="42"/>
        <v>0.12803132697462347</v>
      </c>
      <c r="H418" s="3">
        <f t="shared" si="43"/>
        <v>1.2803132697462346E-3</v>
      </c>
      <c r="I418" s="1"/>
      <c r="J418" s="1"/>
      <c r="K418">
        <v>1073850.91658838</v>
      </c>
      <c r="L418">
        <v>8983.9536980528192</v>
      </c>
      <c r="M418">
        <v>658548.34309602994</v>
      </c>
      <c r="N418">
        <v>16556797.4486352</v>
      </c>
      <c r="O418">
        <v>18298180.662017699</v>
      </c>
      <c r="P418" s="1">
        <f t="shared" si="44"/>
        <v>5.4231994735771713E-2</v>
      </c>
      <c r="Q418" s="3">
        <f t="shared" si="45"/>
        <v>5.423199473577171E-4</v>
      </c>
      <c r="T418">
        <f t="shared" si="46"/>
        <v>2.3608079990126809</v>
      </c>
    </row>
    <row r="419" spans="1:20" x14ac:dyDescent="0.25">
      <c r="A419" t="s">
        <v>438</v>
      </c>
      <c r="B419">
        <v>537709.660768701</v>
      </c>
      <c r="C419">
        <v>2056.4903170805401</v>
      </c>
      <c r="D419">
        <v>136626.02563158199</v>
      </c>
      <c r="E419">
        <v>4332867.1868416797</v>
      </c>
      <c r="F419">
        <v>5009259.3635590496</v>
      </c>
      <c r="G419" s="1">
        <f t="shared" si="42"/>
        <v>4.7440058239466537E-2</v>
      </c>
      <c r="H419" s="3">
        <f t="shared" si="43"/>
        <v>4.7440058239466536E-4</v>
      </c>
      <c r="K419">
        <v>992043.39780787402</v>
      </c>
      <c r="L419">
        <v>2437.9067137511202</v>
      </c>
      <c r="M419">
        <v>247817.408174357</v>
      </c>
      <c r="N419">
        <v>15872472.0744782</v>
      </c>
      <c r="O419">
        <v>17114770.787174199</v>
      </c>
      <c r="P419" s="1">
        <f t="shared" si="44"/>
        <v>1.5356979766433123E-2</v>
      </c>
      <c r="Q419" s="3">
        <f t="shared" si="45"/>
        <v>1.5356979766433123E-4</v>
      </c>
      <c r="T419">
        <f t="shared" si="46"/>
        <v>3.0891528777787252</v>
      </c>
    </row>
    <row r="420" spans="1:20" x14ac:dyDescent="0.25">
      <c r="A420" t="s">
        <v>439</v>
      </c>
      <c r="B420">
        <v>3728286.9633020698</v>
      </c>
      <c r="C420">
        <v>15136.3904812645</v>
      </c>
      <c r="D420">
        <v>1975551.0082845001</v>
      </c>
      <c r="E420">
        <v>3692082.7968391799</v>
      </c>
      <c r="F420">
        <v>9411057.1589070298</v>
      </c>
      <c r="G420" s="1">
        <f t="shared" si="42"/>
        <v>0.40829499731320157</v>
      </c>
      <c r="H420" s="3">
        <f t="shared" si="43"/>
        <v>4.0829499731320157E-3</v>
      </c>
      <c r="I420" s="1"/>
      <c r="J420" s="1"/>
      <c r="K420">
        <v>3541229.0664910302</v>
      </c>
      <c r="L420">
        <v>23097.5415296721</v>
      </c>
      <c r="M420">
        <v>915044.06072228705</v>
      </c>
      <c r="N420">
        <v>26749008.365631599</v>
      </c>
      <c r="O420">
        <v>31228379.034374598</v>
      </c>
      <c r="P420" s="1">
        <f t="shared" si="44"/>
        <v>8.6274653214686928E-2</v>
      </c>
      <c r="Q420" s="3">
        <f t="shared" si="45"/>
        <v>8.6274653214686928E-4</v>
      </c>
      <c r="T420">
        <f t="shared" si="46"/>
        <v>4.7325023294755555</v>
      </c>
    </row>
    <row r="421" spans="1:20" x14ac:dyDescent="0.25">
      <c r="A421" t="s">
        <v>440</v>
      </c>
      <c r="B421">
        <v>3963816.7642460298</v>
      </c>
      <c r="C421">
        <v>10853.3556718777</v>
      </c>
      <c r="D421">
        <v>1473131.37076452</v>
      </c>
      <c r="E421">
        <v>4366474.4376208195</v>
      </c>
      <c r="F421">
        <v>9814275.9283032604</v>
      </c>
      <c r="G421" s="1">
        <f t="shared" si="42"/>
        <v>0.24794477782788182</v>
      </c>
      <c r="H421" s="3">
        <f t="shared" si="43"/>
        <v>2.4794477782788182E-3</v>
      </c>
      <c r="K421">
        <v>2227668.5611457098</v>
      </c>
      <c r="L421">
        <v>4862.4491051512496</v>
      </c>
      <c r="M421">
        <v>519419.61636343499</v>
      </c>
      <c r="N421">
        <v>18447392.151882298</v>
      </c>
      <c r="O421">
        <v>21199342.778496601</v>
      </c>
      <c r="P421" s="1">
        <f t="shared" si="44"/>
        <v>2.6351517526162039E-2</v>
      </c>
      <c r="Q421" s="3">
        <f t="shared" si="45"/>
        <v>2.635151752616204E-4</v>
      </c>
      <c r="T421">
        <f t="shared" si="46"/>
        <v>9.4091271055535923</v>
      </c>
    </row>
    <row r="422" spans="1:20" x14ac:dyDescent="0.25">
      <c r="A422" t="s">
        <v>441</v>
      </c>
      <c r="B422">
        <v>754635.71917097701</v>
      </c>
      <c r="C422">
        <v>9972.7151415349399</v>
      </c>
      <c r="D422">
        <v>201764.66875021101</v>
      </c>
      <c r="E422">
        <v>6767174.7456715396</v>
      </c>
      <c r="F422">
        <v>7733547.8487342698</v>
      </c>
      <c r="G422" s="1">
        <f t="shared" si="42"/>
        <v>0.14715210491138528</v>
      </c>
      <c r="H422" s="3">
        <f t="shared" si="43"/>
        <v>1.4715210491138529E-3</v>
      </c>
      <c r="K422">
        <v>596568.79152936197</v>
      </c>
      <c r="L422">
        <v>14989.440297995199</v>
      </c>
      <c r="M422">
        <v>397350.14116364002</v>
      </c>
      <c r="N422">
        <v>16106050.350404499</v>
      </c>
      <c r="O422">
        <v>17114958.7233955</v>
      </c>
      <c r="P422" s="1">
        <f t="shared" si="44"/>
        <v>9.2980604803420158E-2</v>
      </c>
      <c r="Q422" s="3">
        <f t="shared" si="45"/>
        <v>9.2980604803420165E-4</v>
      </c>
      <c r="T422">
        <f t="shared" si="46"/>
        <v>1.5826107522369277</v>
      </c>
    </row>
    <row r="423" spans="1:20" x14ac:dyDescent="0.25">
      <c r="A423" t="s">
        <v>442</v>
      </c>
      <c r="B423">
        <v>7251985.4868916404</v>
      </c>
      <c r="C423">
        <v>18961.398572776401</v>
      </c>
      <c r="D423">
        <v>929610.19935563998</v>
      </c>
      <c r="E423">
        <v>3880623.3120440398</v>
      </c>
      <c r="F423">
        <v>12081180.396864099</v>
      </c>
      <c r="G423" s="1">
        <f t="shared" si="42"/>
        <v>0.48624148415478796</v>
      </c>
      <c r="H423" s="3">
        <f t="shared" si="43"/>
        <v>4.8624148415478798E-3</v>
      </c>
      <c r="I423" s="1"/>
      <c r="J423" s="1"/>
      <c r="K423">
        <v>3384037.5236052498</v>
      </c>
      <c r="L423">
        <v>1795.3201211123301</v>
      </c>
      <c r="M423">
        <v>216060.33868910201</v>
      </c>
      <c r="N423">
        <v>11149427.474440999</v>
      </c>
      <c r="O423">
        <v>14751320.6568565</v>
      </c>
      <c r="P423" s="1">
        <f t="shared" si="44"/>
        <v>1.6099760126645636E-2</v>
      </c>
      <c r="Q423" s="3">
        <f t="shared" si="45"/>
        <v>1.6099760126645635E-4</v>
      </c>
      <c r="T423">
        <f t="shared" si="46"/>
        <v>30.201784394914199</v>
      </c>
    </row>
    <row r="424" spans="1:20" x14ac:dyDescent="0.25">
      <c r="A424" t="s">
        <v>443</v>
      </c>
      <c r="B424">
        <v>2574571.4982874701</v>
      </c>
      <c r="C424">
        <v>8060.6701866098101</v>
      </c>
      <c r="D424">
        <v>1005353.60598707</v>
      </c>
      <c r="E424">
        <v>5521374.44523755</v>
      </c>
      <c r="F424">
        <v>9109360.2196986992</v>
      </c>
      <c r="G424" s="1">
        <f t="shared" si="42"/>
        <v>0.14577746222439361</v>
      </c>
      <c r="H424" s="3">
        <f t="shared" si="43"/>
        <v>1.4577746222439361E-3</v>
      </c>
      <c r="K424">
        <v>3079342.4235537099</v>
      </c>
      <c r="L424">
        <v>4264.7698952964201</v>
      </c>
      <c r="M424">
        <v>454126.93459561502</v>
      </c>
      <c r="N424">
        <v>16791082.947178401</v>
      </c>
      <c r="O424">
        <v>20328817.075223099</v>
      </c>
      <c r="P424" s="1">
        <f t="shared" si="44"/>
        <v>2.5392566841357923E-2</v>
      </c>
      <c r="Q424" s="3">
        <f t="shared" si="45"/>
        <v>2.5392566841357921E-4</v>
      </c>
      <c r="T424">
        <f t="shared" si="46"/>
        <v>5.74095022118677</v>
      </c>
    </row>
    <row r="425" spans="1:20" x14ac:dyDescent="0.25">
      <c r="A425" t="s">
        <v>444</v>
      </c>
      <c r="B425">
        <v>2126715.1679046699</v>
      </c>
      <c r="C425">
        <v>9723.7243412901807</v>
      </c>
      <c r="D425">
        <v>473733.04755209101</v>
      </c>
      <c r="E425">
        <v>6069366.52788065</v>
      </c>
      <c r="F425">
        <v>8679538.4676787108</v>
      </c>
      <c r="G425" s="1">
        <f t="shared" si="42"/>
        <v>0.15995361045571099</v>
      </c>
      <c r="H425" s="3">
        <f t="shared" si="43"/>
        <v>1.5995361045571099E-3</v>
      </c>
      <c r="K425">
        <v>1236867.4538629199</v>
      </c>
      <c r="L425">
        <v>10490.204048892199</v>
      </c>
      <c r="M425">
        <v>286456.91056344903</v>
      </c>
      <c r="N425">
        <v>11485336.435923399</v>
      </c>
      <c r="O425">
        <v>13019151.0043987</v>
      </c>
      <c r="P425" s="1">
        <f t="shared" si="44"/>
        <v>9.1252281174948921E-2</v>
      </c>
      <c r="Q425" s="3">
        <f t="shared" si="45"/>
        <v>9.1252281174948927E-4</v>
      </c>
      <c r="T425">
        <f t="shared" si="46"/>
        <v>1.7528724585969291</v>
      </c>
    </row>
    <row r="426" spans="1:20" x14ac:dyDescent="0.25">
      <c r="A426" t="s">
        <v>445</v>
      </c>
      <c r="B426">
        <v>1949460.83002161</v>
      </c>
      <c r="C426">
        <v>6242.3696700079599</v>
      </c>
      <c r="D426">
        <v>2097605.0531359301</v>
      </c>
      <c r="E426">
        <v>4788747.8304880504</v>
      </c>
      <c r="F426">
        <v>8842056.0833155997</v>
      </c>
      <c r="G426" s="1">
        <f t="shared" si="42"/>
        <v>0.13018524354444333</v>
      </c>
      <c r="H426" s="3">
        <f t="shared" si="43"/>
        <v>1.3018524354444334E-3</v>
      </c>
      <c r="K426">
        <v>3852217.4624479399</v>
      </c>
      <c r="L426">
        <v>26467.2101069864</v>
      </c>
      <c r="M426">
        <v>1659565.3768992601</v>
      </c>
      <c r="N426">
        <v>24190336.441155601</v>
      </c>
      <c r="O426">
        <v>29728586.490609799</v>
      </c>
      <c r="P426" s="1">
        <f t="shared" si="44"/>
        <v>0.10929274766451882</v>
      </c>
      <c r="Q426" s="3">
        <f t="shared" si="45"/>
        <v>1.0929274766451882E-3</v>
      </c>
      <c r="T426">
        <f t="shared" si="46"/>
        <v>1.1911608622381367</v>
      </c>
    </row>
    <row r="427" spans="1:20" x14ac:dyDescent="0.25">
      <c r="A427" t="s">
        <v>446</v>
      </c>
      <c r="B427">
        <v>1207781.35383506</v>
      </c>
      <c r="C427">
        <v>14971.1810331821</v>
      </c>
      <c r="D427">
        <v>307574.259587184</v>
      </c>
      <c r="E427">
        <v>4044200.0551267299</v>
      </c>
      <c r="F427">
        <v>5574526.8495821599</v>
      </c>
      <c r="G427" s="1">
        <f t="shared" si="42"/>
        <v>0.36882358890937678</v>
      </c>
      <c r="H427" s="3">
        <f t="shared" si="43"/>
        <v>3.6882358890937676E-3</v>
      </c>
      <c r="K427">
        <v>981734.13338816795</v>
      </c>
      <c r="L427">
        <v>7306.4222243075501</v>
      </c>
      <c r="M427">
        <v>265403.50973493402</v>
      </c>
      <c r="N427">
        <v>9046152.4158819504</v>
      </c>
      <c r="O427">
        <v>10300596.4812293</v>
      </c>
      <c r="P427" s="1">
        <f t="shared" si="44"/>
        <v>8.070310314500595E-2</v>
      </c>
      <c r="Q427" s="3">
        <f t="shared" si="45"/>
        <v>8.0703103145005951E-4</v>
      </c>
      <c r="T427">
        <f t="shared" si="46"/>
        <v>4.5701289607994484</v>
      </c>
    </row>
    <row r="428" spans="1:20" x14ac:dyDescent="0.25">
      <c r="A428" t="s">
        <v>447</v>
      </c>
      <c r="B428">
        <v>1040015.83992632</v>
      </c>
      <c r="C428">
        <v>6085.5796221108103</v>
      </c>
      <c r="D428">
        <v>371859.28207475302</v>
      </c>
      <c r="E428">
        <v>2653040.62545281</v>
      </c>
      <c r="F428">
        <v>4071001.3270760002</v>
      </c>
      <c r="G428" s="1">
        <f t="shared" si="42"/>
        <v>0.22885636682066957</v>
      </c>
      <c r="H428" s="3">
        <f t="shared" si="43"/>
        <v>2.2885636682066957E-3</v>
      </c>
      <c r="K428">
        <v>633847.73620955297</v>
      </c>
      <c r="L428">
        <v>4754.2831618646096</v>
      </c>
      <c r="M428">
        <v>186029.24533458499</v>
      </c>
      <c r="N428">
        <v>9849663.6688918192</v>
      </c>
      <c r="O428">
        <v>10674294.933597799</v>
      </c>
      <c r="P428" s="1">
        <f t="shared" si="44"/>
        <v>4.8245195048519394E-2</v>
      </c>
      <c r="Q428" s="3">
        <f t="shared" si="45"/>
        <v>4.8245195048519392E-4</v>
      </c>
      <c r="T428">
        <f t="shared" si="46"/>
        <v>4.7436095260991795</v>
      </c>
    </row>
    <row r="429" spans="1:20" x14ac:dyDescent="0.25">
      <c r="A429" t="s">
        <v>448</v>
      </c>
      <c r="B429">
        <v>2060298.9061054999</v>
      </c>
      <c r="C429">
        <v>9459.9947179027895</v>
      </c>
      <c r="D429">
        <v>125513.771725846</v>
      </c>
      <c r="E429">
        <v>3187884.6041886299</v>
      </c>
      <c r="F429">
        <v>5383157.2767378902</v>
      </c>
      <c r="G429" s="1">
        <f t="shared" si="42"/>
        <v>0.29587035195199274</v>
      </c>
      <c r="H429" s="3">
        <f t="shared" si="43"/>
        <v>2.9587035195199275E-3</v>
      </c>
      <c r="K429">
        <v>1784054.4275814299</v>
      </c>
      <c r="L429">
        <v>21860.750505662101</v>
      </c>
      <c r="M429">
        <v>298933.64664627099</v>
      </c>
      <c r="N429">
        <v>12591650.1726966</v>
      </c>
      <c r="O429">
        <v>14696498.99743</v>
      </c>
      <c r="P429" s="1">
        <f t="shared" si="44"/>
        <v>0.17331217801896662</v>
      </c>
      <c r="Q429" s="3">
        <f t="shared" si="45"/>
        <v>1.7331217801896661E-3</v>
      </c>
      <c r="T429">
        <f t="shared" si="46"/>
        <v>1.7071526959843171</v>
      </c>
    </row>
    <row r="430" spans="1:20" x14ac:dyDescent="0.25">
      <c r="A430" t="s">
        <v>449</v>
      </c>
      <c r="B430">
        <v>5812904.5799725</v>
      </c>
      <c r="C430">
        <v>13281.4804017524</v>
      </c>
      <c r="D430">
        <v>486965.34531374899</v>
      </c>
      <c r="E430">
        <v>7730922.1079267301</v>
      </c>
      <c r="F430">
        <v>14044073.513614699</v>
      </c>
      <c r="G430" s="1">
        <f t="shared" si="42"/>
        <v>0.17150221130251936</v>
      </c>
      <c r="H430" s="3">
        <f t="shared" si="43"/>
        <v>1.7150221130251934E-3</v>
      </c>
      <c r="K430">
        <v>1259486.1633516201</v>
      </c>
      <c r="L430">
        <v>3146.0612987505701</v>
      </c>
      <c r="M430">
        <v>176087.115873389</v>
      </c>
      <c r="N430">
        <v>11714299.7258191</v>
      </c>
      <c r="O430">
        <v>13153019.0663429</v>
      </c>
      <c r="P430" s="1">
        <f t="shared" si="44"/>
        <v>2.6849377892657691E-2</v>
      </c>
      <c r="Q430" s="3">
        <f t="shared" si="45"/>
        <v>2.684937789265769E-4</v>
      </c>
      <c r="T430">
        <f t="shared" si="46"/>
        <v>6.3875674135980205</v>
      </c>
    </row>
    <row r="431" spans="1:20" x14ac:dyDescent="0.25">
      <c r="A431" t="s">
        <v>450</v>
      </c>
      <c r="B431">
        <v>1714969.55583955</v>
      </c>
      <c r="C431">
        <v>22202.368072350499</v>
      </c>
      <c r="D431">
        <v>476824.946525482</v>
      </c>
      <c r="E431">
        <v>7954391.3188115498</v>
      </c>
      <c r="F431">
        <v>10168388.189248901</v>
      </c>
      <c r="G431" s="1">
        <f t="shared" si="42"/>
        <v>0.27834397668842492</v>
      </c>
      <c r="H431" s="3">
        <f t="shared" si="43"/>
        <v>2.7834397668842492E-3</v>
      </c>
      <c r="I431" s="1"/>
      <c r="J431" s="1"/>
      <c r="K431">
        <v>3311198.1068549301</v>
      </c>
      <c r="L431">
        <v>46755.189269769297</v>
      </c>
      <c r="M431">
        <v>342140.945697925</v>
      </c>
      <c r="N431">
        <v>21765775.352158599</v>
      </c>
      <c r="O431">
        <v>25465869.593981199</v>
      </c>
      <c r="P431" s="1">
        <f t="shared" si="44"/>
        <v>0.21435013778418571</v>
      </c>
      <c r="Q431" s="3">
        <f t="shared" si="45"/>
        <v>2.1435013778418571E-3</v>
      </c>
      <c r="T431">
        <f t="shared" si="46"/>
        <v>1.2985481584745711</v>
      </c>
    </row>
    <row r="432" spans="1:20" x14ac:dyDescent="0.25">
      <c r="A432" t="s">
        <v>451</v>
      </c>
      <c r="B432">
        <v>1325691.5150423001</v>
      </c>
      <c r="C432">
        <v>153067.70242595801</v>
      </c>
      <c r="D432">
        <v>376435.37795130297</v>
      </c>
      <c r="E432">
        <v>9279190.7368645705</v>
      </c>
      <c r="F432">
        <v>11134385.3322841</v>
      </c>
      <c r="G432" s="1">
        <f t="shared" si="42"/>
        <v>1.6228107341540503</v>
      </c>
      <c r="H432" s="3">
        <f t="shared" si="43"/>
        <v>1.6228107341540503E-2</v>
      </c>
      <c r="K432">
        <v>846567.20724554395</v>
      </c>
      <c r="L432">
        <v>41094.764314292202</v>
      </c>
      <c r="M432">
        <v>479114.590137969</v>
      </c>
      <c r="N432">
        <v>12423440.058981899</v>
      </c>
      <c r="O432">
        <v>13790216.620679701</v>
      </c>
      <c r="P432" s="1">
        <f t="shared" si="44"/>
        <v>0.32969352564594845</v>
      </c>
      <c r="Q432" s="3">
        <f t="shared" si="45"/>
        <v>3.2969352564594843E-3</v>
      </c>
      <c r="T432">
        <f t="shared" si="46"/>
        <v>4.922179563503942</v>
      </c>
    </row>
    <row r="433" spans="1:21" x14ac:dyDescent="0.25">
      <c r="A433" t="s">
        <v>452</v>
      </c>
      <c r="B433">
        <v>2147.5949386566999</v>
      </c>
      <c r="C433">
        <v>0</v>
      </c>
      <c r="D433">
        <v>0</v>
      </c>
      <c r="E433">
        <v>0</v>
      </c>
      <c r="F433">
        <v>0</v>
      </c>
      <c r="G433" s="1"/>
      <c r="H433" s="3"/>
      <c r="I433" s="12" t="s">
        <v>215</v>
      </c>
      <c r="J433" s="1"/>
      <c r="K433">
        <v>1195384.3827784599</v>
      </c>
      <c r="L433">
        <v>4094.7638790790602</v>
      </c>
      <c r="M433">
        <v>319493.61762181303</v>
      </c>
      <c r="N433">
        <v>15720301.418834601</v>
      </c>
      <c r="O433">
        <v>17239274.183114</v>
      </c>
      <c r="P433" s="1">
        <f t="shared" si="44"/>
        <v>2.604083381961949E-2</v>
      </c>
      <c r="Q433" s="3">
        <f t="shared" si="45"/>
        <v>2.604083381961949E-4</v>
      </c>
      <c r="T433">
        <f t="shared" si="46"/>
        <v>0</v>
      </c>
      <c r="U433" t="s">
        <v>217</v>
      </c>
    </row>
    <row r="434" spans="1:21" x14ac:dyDescent="0.25">
      <c r="A434" t="s">
        <v>453</v>
      </c>
      <c r="B434">
        <v>3839609.6128072301</v>
      </c>
      <c r="C434">
        <v>4515.03704760254</v>
      </c>
      <c r="D434">
        <v>1536324.8660190001</v>
      </c>
      <c r="E434">
        <v>5918911.1092980104</v>
      </c>
      <c r="F434">
        <v>11299360.625171799</v>
      </c>
      <c r="G434" s="1">
        <f t="shared" si="42"/>
        <v>7.6223404091701863E-2</v>
      </c>
      <c r="H434" s="3">
        <f t="shared" si="43"/>
        <v>7.6223404091701867E-4</v>
      </c>
      <c r="K434">
        <v>1089936.2597272601</v>
      </c>
      <c r="L434">
        <v>1502.58295073563</v>
      </c>
      <c r="M434">
        <v>250837.820931939</v>
      </c>
      <c r="N434">
        <v>14825690.802994899</v>
      </c>
      <c r="O434">
        <v>16167967.466604801</v>
      </c>
      <c r="P434" s="1">
        <f t="shared" si="44"/>
        <v>1.0133967444977784E-2</v>
      </c>
      <c r="Q434" s="3">
        <f t="shared" si="45"/>
        <v>1.0133967444977785E-4</v>
      </c>
      <c r="T434">
        <f t="shared" si="46"/>
        <v>7.5215757802218759</v>
      </c>
    </row>
    <row r="435" spans="1:21" x14ac:dyDescent="0.25">
      <c r="A435" t="s">
        <v>454</v>
      </c>
      <c r="B435">
        <v>2659940.6326110801</v>
      </c>
      <c r="C435">
        <v>6901.9923428048596</v>
      </c>
      <c r="D435">
        <v>662944.74603769998</v>
      </c>
      <c r="E435">
        <v>6045592.5984364497</v>
      </c>
      <c r="F435">
        <v>9375379.9694280401</v>
      </c>
      <c r="G435" s="1">
        <f t="shared" si="42"/>
        <v>0.11403549791386486</v>
      </c>
      <c r="H435" s="3">
        <f t="shared" si="43"/>
        <v>1.1403549791386485E-3</v>
      </c>
      <c r="K435">
        <v>594573.47870100301</v>
      </c>
      <c r="L435">
        <v>1410.28037838726</v>
      </c>
      <c r="M435">
        <v>113259.726512341</v>
      </c>
      <c r="N435">
        <v>11263797.628695199</v>
      </c>
      <c r="O435">
        <v>11973041.1142869</v>
      </c>
      <c r="P435" s="1">
        <f t="shared" si="44"/>
        <v>1.2518902356443387E-2</v>
      </c>
      <c r="Q435" s="3">
        <f t="shared" si="45"/>
        <v>1.2518902356443388E-4</v>
      </c>
      <c r="T435">
        <f t="shared" si="46"/>
        <v>9.1090652093129894</v>
      </c>
    </row>
    <row r="436" spans="1:21" x14ac:dyDescent="0.25">
      <c r="A436" t="s">
        <v>455</v>
      </c>
      <c r="B436">
        <v>2652974.2895129002</v>
      </c>
      <c r="C436">
        <v>20896.342566769901</v>
      </c>
      <c r="D436">
        <v>1024780.78754684</v>
      </c>
      <c r="E436">
        <v>6550984.5669599101</v>
      </c>
      <c r="F436">
        <v>10249635.986586399</v>
      </c>
      <c r="G436" s="1">
        <f t="shared" si="42"/>
        <v>0.31796593478251112</v>
      </c>
      <c r="H436" s="3">
        <f t="shared" si="43"/>
        <v>3.1796593478251112E-3</v>
      </c>
      <c r="K436">
        <v>2925528.0441762898</v>
      </c>
      <c r="L436">
        <v>9643.4379839322701</v>
      </c>
      <c r="M436">
        <v>412132.77157933998</v>
      </c>
      <c r="N436">
        <v>20745497.283661701</v>
      </c>
      <c r="O436">
        <v>24092801.537401199</v>
      </c>
      <c r="P436" s="1">
        <f t="shared" si="44"/>
        <v>4.6462888945267823E-2</v>
      </c>
      <c r="Q436" s="3">
        <f t="shared" si="45"/>
        <v>4.6462888945267826E-4</v>
      </c>
      <c r="T436">
        <f t="shared" si="46"/>
        <v>6.8434387529597522</v>
      </c>
    </row>
    <row r="437" spans="1:21" x14ac:dyDescent="0.25">
      <c r="A437" t="s">
        <v>456</v>
      </c>
      <c r="B437">
        <v>3175106.32855277</v>
      </c>
      <c r="C437">
        <v>45518.237956511999</v>
      </c>
      <c r="D437">
        <v>505729.45175267698</v>
      </c>
      <c r="E437">
        <v>5667101.4027539501</v>
      </c>
      <c r="F437">
        <v>9393455.4210159108</v>
      </c>
      <c r="G437" s="1">
        <f t="shared" si="42"/>
        <v>0.7968014819703807</v>
      </c>
      <c r="H437" s="3">
        <f t="shared" si="43"/>
        <v>7.9680148197038073E-3</v>
      </c>
      <c r="K437">
        <v>580691.87854023697</v>
      </c>
      <c r="L437">
        <v>6718.4739449061399</v>
      </c>
      <c r="M437">
        <v>38660.074171854598</v>
      </c>
      <c r="N437">
        <v>6318829.8162376098</v>
      </c>
      <c r="O437">
        <v>6944900.2428946001</v>
      </c>
      <c r="P437" s="1">
        <f t="shared" si="44"/>
        <v>0.10621172484499818</v>
      </c>
      <c r="Q437" s="3">
        <f t="shared" si="45"/>
        <v>1.0621172484499817E-3</v>
      </c>
      <c r="T437">
        <f t="shared" si="46"/>
        <v>7.5020105655303695</v>
      </c>
    </row>
    <row r="438" spans="1:21" x14ac:dyDescent="0.25">
      <c r="A438" t="s">
        <v>457</v>
      </c>
      <c r="B438">
        <v>4659357.10003791</v>
      </c>
      <c r="C438">
        <v>3635.59134119176</v>
      </c>
      <c r="D438">
        <v>616741.08347676997</v>
      </c>
      <c r="E438">
        <v>6912790.8738792501</v>
      </c>
      <c r="F438">
        <v>12192524.6487351</v>
      </c>
      <c r="G438" s="1">
        <f t="shared" si="42"/>
        <v>5.2564591837612855E-2</v>
      </c>
      <c r="H438" s="3">
        <f t="shared" si="43"/>
        <v>5.2564591837612855E-4</v>
      </c>
      <c r="I438" s="1"/>
      <c r="J438" s="1"/>
      <c r="K438">
        <v>1208636.7325089199</v>
      </c>
      <c r="L438">
        <v>7243.2446266376401</v>
      </c>
      <c r="M438">
        <v>752218.78927890805</v>
      </c>
      <c r="N438">
        <v>19383219.007212799</v>
      </c>
      <c r="O438">
        <v>21351317.7736273</v>
      </c>
      <c r="P438" s="1">
        <f t="shared" si="44"/>
        <v>3.7354677431429076E-2</v>
      </c>
      <c r="Q438" s="3">
        <f t="shared" si="45"/>
        <v>3.7354677431429074E-4</v>
      </c>
      <c r="T438">
        <f t="shared" si="46"/>
        <v>1.4071756323984912</v>
      </c>
    </row>
    <row r="439" spans="1:21" x14ac:dyDescent="0.25">
      <c r="A439" t="s">
        <v>458</v>
      </c>
      <c r="B439">
        <v>429901.38400800101</v>
      </c>
      <c r="C439">
        <v>23787.516220077399</v>
      </c>
      <c r="D439">
        <v>83193.749598982802</v>
      </c>
      <c r="E439">
        <v>2079974.9278289201</v>
      </c>
      <c r="F439">
        <v>2616857.5776559799</v>
      </c>
      <c r="G439" s="1">
        <f t="shared" si="42"/>
        <v>1.1307130368909359</v>
      </c>
      <c r="H439" s="3">
        <f t="shared" si="43"/>
        <v>1.130713036890936E-2</v>
      </c>
      <c r="K439">
        <v>1176259.4549734099</v>
      </c>
      <c r="L439">
        <v>161155.776154516</v>
      </c>
      <c r="M439">
        <v>298832.57048715203</v>
      </c>
      <c r="N439">
        <v>16234764.210534699</v>
      </c>
      <c r="O439">
        <v>17871012.0121498</v>
      </c>
      <c r="P439" s="1">
        <f t="shared" si="44"/>
        <v>0.98290169923583393</v>
      </c>
      <c r="Q439" s="3">
        <f t="shared" si="45"/>
        <v>9.829016992358339E-3</v>
      </c>
      <c r="T439">
        <f t="shared" si="46"/>
        <v>1.1503826250071796</v>
      </c>
    </row>
    <row r="440" spans="1:21" x14ac:dyDescent="0.25">
      <c r="A440" t="s">
        <v>459</v>
      </c>
      <c r="B440">
        <v>1612905.2063973399</v>
      </c>
      <c r="C440">
        <v>11809.3121040282</v>
      </c>
      <c r="D440">
        <v>279310.51674804097</v>
      </c>
      <c r="E440">
        <v>4540344.03213578</v>
      </c>
      <c r="F440">
        <v>6444369.0673851902</v>
      </c>
      <c r="G440" s="1">
        <f t="shared" si="42"/>
        <v>0.2594225460126785</v>
      </c>
      <c r="H440" s="3">
        <f t="shared" si="43"/>
        <v>2.5942254601267851E-3</v>
      </c>
      <c r="K440">
        <v>2570161.5833465802</v>
      </c>
      <c r="L440">
        <v>12612.2287159149</v>
      </c>
      <c r="M440">
        <v>326857.51363016199</v>
      </c>
      <c r="N440">
        <v>25019872.821481299</v>
      </c>
      <c r="O440">
        <v>27929504.1471739</v>
      </c>
      <c r="P440" s="1">
        <f t="shared" si="44"/>
        <v>5.0383446512097439E-2</v>
      </c>
      <c r="Q440" s="3">
        <f t="shared" si="45"/>
        <v>5.0383446512097438E-4</v>
      </c>
      <c r="T440">
        <f t="shared" si="46"/>
        <v>5.1489638754742444</v>
      </c>
    </row>
    <row r="441" spans="1:21" x14ac:dyDescent="0.25">
      <c r="A441" t="s">
        <v>460</v>
      </c>
      <c r="B441">
        <v>610767.444242117</v>
      </c>
      <c r="C441">
        <v>5308.2010579158105</v>
      </c>
      <c r="D441">
        <v>50500.791529256203</v>
      </c>
      <c r="E441">
        <v>5776899.4203426503</v>
      </c>
      <c r="F441">
        <v>6443475.8571719397</v>
      </c>
      <c r="G441" s="1">
        <f t="shared" si="42"/>
        <v>9.1802325434832077E-2</v>
      </c>
      <c r="H441" s="3">
        <f t="shared" si="43"/>
        <v>9.1802325434832074E-4</v>
      </c>
      <c r="K441">
        <v>611504.76187190099</v>
      </c>
      <c r="L441">
        <v>1139.38045590961</v>
      </c>
      <c r="M441">
        <v>156092.69307698199</v>
      </c>
      <c r="N441">
        <v>14324459.933788801</v>
      </c>
      <c r="O441">
        <v>15093196.769193601</v>
      </c>
      <c r="P441" s="1">
        <f t="shared" si="44"/>
        <v>7.9534575197608877E-3</v>
      </c>
      <c r="Q441" s="3">
        <f t="shared" si="45"/>
        <v>7.9534575197608877E-5</v>
      </c>
      <c r="T441">
        <f t="shared" si="46"/>
        <v>11.542442416614808</v>
      </c>
    </row>
    <row r="442" spans="1:21" x14ac:dyDescent="0.25">
      <c r="A442" t="s">
        <v>461</v>
      </c>
      <c r="B442">
        <v>773531.02554299403</v>
      </c>
      <c r="C442">
        <v>5436.9569564855601</v>
      </c>
      <c r="D442">
        <v>235435.055446135</v>
      </c>
      <c r="E442">
        <v>3214332.3538090899</v>
      </c>
      <c r="F442">
        <v>4228735.3917546999</v>
      </c>
      <c r="G442" s="1">
        <f t="shared" si="42"/>
        <v>0.16886169261588485</v>
      </c>
      <c r="H442" s="3">
        <f t="shared" si="43"/>
        <v>1.6886169261588484E-3</v>
      </c>
      <c r="K442">
        <v>2817511.0215192102</v>
      </c>
      <c r="L442">
        <v>2317.6304452579202</v>
      </c>
      <c r="M442">
        <v>563973.747353554</v>
      </c>
      <c r="N442">
        <v>19837406.750483502</v>
      </c>
      <c r="O442">
        <v>23221209.1498015</v>
      </c>
      <c r="P442" s="1">
        <f t="shared" si="44"/>
        <v>1.1681767350990916E-2</v>
      </c>
      <c r="Q442" s="3">
        <f t="shared" si="45"/>
        <v>1.1681767350990916E-4</v>
      </c>
      <c r="T442">
        <f t="shared" si="46"/>
        <v>14.455149425789669</v>
      </c>
    </row>
    <row r="443" spans="1:21" x14ac:dyDescent="0.25">
      <c r="A443" t="s">
        <v>462</v>
      </c>
      <c r="B443">
        <v>2531858.3839498502</v>
      </c>
      <c r="C443">
        <v>1616.75694651463</v>
      </c>
      <c r="D443">
        <v>908161.89390746003</v>
      </c>
      <c r="E443">
        <v>1519321.5282518801</v>
      </c>
      <c r="F443">
        <v>4960958.5630557099</v>
      </c>
      <c r="G443" s="1">
        <f t="shared" si="42"/>
        <v>0.10629997037018084</v>
      </c>
      <c r="H443" s="3">
        <f t="shared" si="43"/>
        <v>1.0629997037018084E-3</v>
      </c>
      <c r="K443">
        <v>2196630.93704656</v>
      </c>
      <c r="L443">
        <v>59117.914222329797</v>
      </c>
      <c r="M443">
        <v>440571.734045644</v>
      </c>
      <c r="N443">
        <v>17771957.188530698</v>
      </c>
      <c r="O443">
        <v>20468277.7738453</v>
      </c>
      <c r="P443" s="1">
        <f t="shared" si="44"/>
        <v>0.33154430611535191</v>
      </c>
      <c r="Q443" s="3">
        <f t="shared" si="45"/>
        <v>3.3154430611535188E-3</v>
      </c>
      <c r="T443">
        <f t="shared" si="46"/>
        <v>0.32062070863372522</v>
      </c>
      <c r="U443" t="s">
        <v>217</v>
      </c>
    </row>
    <row r="444" spans="1:21" x14ac:dyDescent="0.25">
      <c r="A444" t="s">
        <v>463</v>
      </c>
      <c r="B444">
        <v>3164479.7507427898</v>
      </c>
      <c r="C444">
        <v>52280.714703775302</v>
      </c>
      <c r="D444">
        <v>765455.74297702301</v>
      </c>
      <c r="E444">
        <v>6891124.1633262401</v>
      </c>
      <c r="F444">
        <v>10873340.3717498</v>
      </c>
      <c r="G444" s="1">
        <f t="shared" si="42"/>
        <v>0.75295500726451092</v>
      </c>
      <c r="H444" s="3">
        <f t="shared" si="43"/>
        <v>7.529550072645109E-3</v>
      </c>
      <c r="K444">
        <v>2611521.3049044502</v>
      </c>
      <c r="L444">
        <v>44529.710044742103</v>
      </c>
      <c r="M444">
        <v>397344.36405427603</v>
      </c>
      <c r="N444">
        <v>16087225.353581199</v>
      </c>
      <c r="O444">
        <v>19140620.7325847</v>
      </c>
      <c r="P444" s="1">
        <f t="shared" si="44"/>
        <v>0.27603760328067578</v>
      </c>
      <c r="Q444" s="3">
        <f t="shared" si="45"/>
        <v>2.7603760328067579E-3</v>
      </c>
      <c r="T444">
        <f t="shared" si="46"/>
        <v>2.7277262167028171</v>
      </c>
    </row>
    <row r="445" spans="1:21" x14ac:dyDescent="0.25">
      <c r="A445" t="s">
        <v>464</v>
      </c>
      <c r="B445">
        <v>6357325.4582103696</v>
      </c>
      <c r="C445">
        <v>67739.888775800006</v>
      </c>
      <c r="D445">
        <v>1786087.33580677</v>
      </c>
      <c r="E445">
        <v>4902470.8369210605</v>
      </c>
      <c r="F445">
        <v>13113623.519714</v>
      </c>
      <c r="G445" s="1">
        <f t="shared" si="42"/>
        <v>1.3629178422068284</v>
      </c>
      <c r="H445" s="3">
        <f t="shared" si="43"/>
        <v>1.3629178422068285E-2</v>
      </c>
      <c r="I445" s="1"/>
      <c r="J445" s="1"/>
      <c r="K445">
        <v>1756085.5872301301</v>
      </c>
      <c r="L445">
        <v>74939.385266092999</v>
      </c>
      <c r="M445">
        <v>215008.280033877</v>
      </c>
      <c r="N445">
        <v>11450063.6700675</v>
      </c>
      <c r="O445">
        <v>13496096.9225976</v>
      </c>
      <c r="P445" s="1">
        <f t="shared" si="44"/>
        <v>0.65023310541694135</v>
      </c>
      <c r="Q445" s="3">
        <f t="shared" si="45"/>
        <v>6.5023310541694138E-3</v>
      </c>
      <c r="T445">
        <f t="shared" si="46"/>
        <v>2.0960449888704153</v>
      </c>
    </row>
    <row r="446" spans="1:21" x14ac:dyDescent="0.25">
      <c r="A446" t="s">
        <v>465</v>
      </c>
      <c r="B446">
        <v>2425481.2275356101</v>
      </c>
      <c r="C446">
        <v>18511.9341439247</v>
      </c>
      <c r="D446">
        <v>1437454.11566344</v>
      </c>
      <c r="E446">
        <v>11173466.9790789</v>
      </c>
      <c r="F446">
        <v>15054914.256421801</v>
      </c>
      <c r="G446" s="1">
        <f t="shared" si="42"/>
        <v>0.16540358311481157</v>
      </c>
      <c r="H446" s="3">
        <f t="shared" si="43"/>
        <v>1.6540358311481157E-3</v>
      </c>
      <c r="K446">
        <v>837311.54410473001</v>
      </c>
      <c r="L446">
        <v>9525.6291047676004</v>
      </c>
      <c r="M446">
        <v>221490.91913423</v>
      </c>
      <c r="N446">
        <v>15151380.382535599</v>
      </c>
      <c r="O446">
        <v>16219708.474879401</v>
      </c>
      <c r="P446" s="1">
        <f t="shared" si="44"/>
        <v>6.2830210130278064E-2</v>
      </c>
      <c r="Q446" s="3">
        <f t="shared" si="45"/>
        <v>6.2830210130278058E-4</v>
      </c>
      <c r="T446">
        <f t="shared" si="46"/>
        <v>2.6325486222606647</v>
      </c>
    </row>
    <row r="447" spans="1:21" x14ac:dyDescent="0.25">
      <c r="A447" t="s">
        <v>466</v>
      </c>
      <c r="B447">
        <v>3539691.0124635799</v>
      </c>
      <c r="C447">
        <v>2443.96252278665</v>
      </c>
      <c r="D447">
        <v>912529.69060925301</v>
      </c>
      <c r="E447">
        <v>3914271.9980323398</v>
      </c>
      <c r="F447">
        <v>8368936.6636279598</v>
      </c>
      <c r="G447" s="1">
        <f t="shared" si="42"/>
        <v>6.2398257810869204E-2</v>
      </c>
      <c r="H447" s="3">
        <f t="shared" si="43"/>
        <v>6.2398257810869202E-4</v>
      </c>
      <c r="I447" s="1"/>
      <c r="J447" s="1"/>
      <c r="K447">
        <v>2926437.4085164401</v>
      </c>
      <c r="L447">
        <v>4903.71605590941</v>
      </c>
      <c r="M447">
        <v>567921.25735151197</v>
      </c>
      <c r="N447">
        <v>24374981.690322999</v>
      </c>
      <c r="O447">
        <v>27874244.072246801</v>
      </c>
      <c r="P447" s="1">
        <f t="shared" si="44"/>
        <v>2.0113778117375278E-2</v>
      </c>
      <c r="Q447" s="3">
        <f t="shared" si="45"/>
        <v>2.0113778117375277E-4</v>
      </c>
      <c r="T447">
        <f t="shared" si="46"/>
        <v>3.1022644003896263</v>
      </c>
    </row>
    <row r="448" spans="1:21" x14ac:dyDescent="0.25">
      <c r="A448" t="s">
        <v>467</v>
      </c>
      <c r="B448">
        <v>1734849.1989850199</v>
      </c>
      <c r="C448">
        <v>9699.2780936751697</v>
      </c>
      <c r="D448">
        <v>295331.78209488001</v>
      </c>
      <c r="E448">
        <v>4691803.7937112097</v>
      </c>
      <c r="F448">
        <v>6731684.0528847901</v>
      </c>
      <c r="G448" s="1">
        <f t="shared" si="42"/>
        <v>0.20630164323069694</v>
      </c>
      <c r="H448" s="3">
        <f t="shared" si="43"/>
        <v>2.0630164323069693E-3</v>
      </c>
      <c r="K448">
        <v>866598.00478459103</v>
      </c>
      <c r="L448">
        <v>12155.3758150792</v>
      </c>
      <c r="M448">
        <v>180445.442535971</v>
      </c>
      <c r="N448">
        <v>11608315.880911799</v>
      </c>
      <c r="O448">
        <v>12667514.704047401</v>
      </c>
      <c r="P448" s="1">
        <f t="shared" si="44"/>
        <v>0.10460312276959229</v>
      </c>
      <c r="Q448" s="3">
        <f t="shared" si="45"/>
        <v>1.0460312276959229E-3</v>
      </c>
      <c r="T448">
        <f t="shared" si="46"/>
        <v>1.9722321644748066</v>
      </c>
    </row>
    <row r="449" spans="1:21" x14ac:dyDescent="0.25">
      <c r="A449" t="s">
        <v>468</v>
      </c>
      <c r="B449">
        <v>5196070.6593864197</v>
      </c>
      <c r="C449">
        <v>11834.8070978012</v>
      </c>
      <c r="D449">
        <v>1128606.7068402499</v>
      </c>
      <c r="E449">
        <v>5932007.8684877101</v>
      </c>
      <c r="F449">
        <v>12268520.0418121</v>
      </c>
      <c r="G449" s="1">
        <f t="shared" si="42"/>
        <v>0.19911036922987516</v>
      </c>
      <c r="H449" s="3">
        <f t="shared" si="43"/>
        <v>1.9911036922987515E-3</v>
      </c>
      <c r="K449">
        <v>1036097.70150777</v>
      </c>
      <c r="L449">
        <v>3776.4975127849898</v>
      </c>
      <c r="M449">
        <v>394971.35132105701</v>
      </c>
      <c r="N449">
        <v>10845234.776716299</v>
      </c>
      <c r="O449">
        <v>12280080.3270579</v>
      </c>
      <c r="P449" s="1">
        <f t="shared" si="44"/>
        <v>3.4809600776761492E-2</v>
      </c>
      <c r="Q449" s="3">
        <f t="shared" si="45"/>
        <v>3.4809600776761494E-4</v>
      </c>
      <c r="T449">
        <f t="shared" si="46"/>
        <v>5.7199842798196938</v>
      </c>
    </row>
    <row r="450" spans="1:21" x14ac:dyDescent="0.25">
      <c r="A450" t="s">
        <v>469</v>
      </c>
      <c r="B450">
        <v>7824226.3377343696</v>
      </c>
      <c r="C450">
        <v>11789.826765708</v>
      </c>
      <c r="D450">
        <v>3693512.4590845201</v>
      </c>
      <c r="E450">
        <v>10622653.351018099</v>
      </c>
      <c r="F450">
        <v>22152181.974602699</v>
      </c>
      <c r="G450" s="1">
        <f t="shared" si="42"/>
        <v>0.11086454239877722</v>
      </c>
      <c r="H450" s="3">
        <f t="shared" si="43"/>
        <v>1.1086454239877721E-3</v>
      </c>
      <c r="I450" s="1"/>
      <c r="J450" s="1"/>
      <c r="K450">
        <v>693804.460409033</v>
      </c>
      <c r="L450">
        <v>2844.8149892116498</v>
      </c>
      <c r="M450">
        <v>619154.18287829298</v>
      </c>
      <c r="N450">
        <v>12743815.186938699</v>
      </c>
      <c r="O450">
        <v>14059618.6452152</v>
      </c>
      <c r="P450" s="1">
        <f t="shared" si="44"/>
        <v>2.2318120894268587E-2</v>
      </c>
      <c r="Q450" s="3">
        <f t="shared" si="45"/>
        <v>2.2318120894268588E-4</v>
      </c>
      <c r="T450">
        <f t="shared" si="46"/>
        <v>4.9674675983697094</v>
      </c>
    </row>
    <row r="451" spans="1:21" x14ac:dyDescent="0.25">
      <c r="A451" t="s">
        <v>470</v>
      </c>
      <c r="B451">
        <v>4528951.4394774102</v>
      </c>
      <c r="C451">
        <v>732208.086829687</v>
      </c>
      <c r="D451">
        <v>1894490.0945049401</v>
      </c>
      <c r="E451">
        <v>8919261.5951230507</v>
      </c>
      <c r="F451">
        <v>16074911.2159351</v>
      </c>
      <c r="G451" s="1">
        <f t="shared" si="42"/>
        <v>7.5864931555329997</v>
      </c>
      <c r="H451" s="3">
        <f t="shared" si="43"/>
        <v>7.5864931555330001E-2</v>
      </c>
      <c r="K451">
        <v>1146207.84957486</v>
      </c>
      <c r="L451">
        <v>63576.313822735297</v>
      </c>
      <c r="M451">
        <v>78452.775264242402</v>
      </c>
      <c r="N451">
        <v>9439304.8855765294</v>
      </c>
      <c r="O451">
        <v>10727541.8242383</v>
      </c>
      <c r="P451" s="1">
        <f t="shared" si="44"/>
        <v>0.66902145242807354</v>
      </c>
      <c r="Q451" s="3">
        <f t="shared" si="45"/>
        <v>6.6902145242807359E-3</v>
      </c>
      <c r="T451">
        <f t="shared" si="46"/>
        <v>11.339685936825207</v>
      </c>
    </row>
    <row r="452" spans="1:21" x14ac:dyDescent="0.25">
      <c r="A452" t="s">
        <v>471</v>
      </c>
      <c r="B452">
        <v>1038087.23275786</v>
      </c>
      <c r="C452">
        <v>50227.421686050897</v>
      </c>
      <c r="D452">
        <v>368552.66495839797</v>
      </c>
      <c r="E452">
        <v>4908783.6191414902</v>
      </c>
      <c r="F452">
        <v>6365650.9385438003</v>
      </c>
      <c r="G452" s="1">
        <f t="shared" si="42"/>
        <v>1.0128515801341942</v>
      </c>
      <c r="H452" s="3">
        <f t="shared" si="43"/>
        <v>1.0128515801341942E-2</v>
      </c>
      <c r="K452">
        <v>2254046.3462212901</v>
      </c>
      <c r="L452">
        <v>15218.8480363853</v>
      </c>
      <c r="M452">
        <v>369272.97598765697</v>
      </c>
      <c r="N452">
        <v>19995252.335812401</v>
      </c>
      <c r="O452">
        <v>22633790.506057698</v>
      </c>
      <c r="P452" s="1">
        <f t="shared" si="44"/>
        <v>7.6054421190586502E-2</v>
      </c>
      <c r="Q452" s="3">
        <f t="shared" si="45"/>
        <v>7.6054421190586508E-4</v>
      </c>
      <c r="T452">
        <f t="shared" si="46"/>
        <v>13.31745826578663</v>
      </c>
    </row>
    <row r="453" spans="1:21" x14ac:dyDescent="0.25">
      <c r="A453" t="s">
        <v>472</v>
      </c>
      <c r="B453">
        <v>1337077.60062327</v>
      </c>
      <c r="C453">
        <v>8582.9936362013304</v>
      </c>
      <c r="D453">
        <v>565734.190220627</v>
      </c>
      <c r="E453">
        <v>4778777.8792551504</v>
      </c>
      <c r="F453">
        <v>6690172.6637352603</v>
      </c>
      <c r="G453" s="1">
        <f t="shared" si="42"/>
        <v>0.17928445053730799</v>
      </c>
      <c r="H453" s="3">
        <f t="shared" si="43"/>
        <v>1.7928445053730798E-3</v>
      </c>
      <c r="K453">
        <v>2025953.33427118</v>
      </c>
      <c r="L453">
        <v>34941.748505373202</v>
      </c>
      <c r="M453">
        <v>1935081.2231874201</v>
      </c>
      <c r="N453">
        <v>31542208.872951198</v>
      </c>
      <c r="O453">
        <v>35538185.178915203</v>
      </c>
      <c r="P453" s="1">
        <f t="shared" si="44"/>
        <v>0.11065516621259169</v>
      </c>
      <c r="Q453" s="3">
        <f t="shared" si="45"/>
        <v>1.1065516621259169E-3</v>
      </c>
      <c r="T453">
        <f t="shared" si="46"/>
        <v>1.6202085873954144</v>
      </c>
    </row>
    <row r="454" spans="1:21" x14ac:dyDescent="0.25">
      <c r="A454" t="s">
        <v>473</v>
      </c>
      <c r="B454">
        <v>5248358.07561363</v>
      </c>
      <c r="C454">
        <v>13129.6349173373</v>
      </c>
      <c r="D454">
        <v>1993459.7516459101</v>
      </c>
      <c r="E454">
        <v>9513663.7376273796</v>
      </c>
      <c r="F454">
        <v>16768611.1998042</v>
      </c>
      <c r="G454" s="1">
        <f t="shared" si="42"/>
        <v>0.13781798768907511</v>
      </c>
      <c r="H454" s="3">
        <f t="shared" si="43"/>
        <v>1.378179876890751E-3</v>
      </c>
      <c r="K454">
        <v>1807125.58601361</v>
      </c>
      <c r="L454">
        <v>13348.279961755899</v>
      </c>
      <c r="M454">
        <v>599161.51808314805</v>
      </c>
      <c r="N454">
        <v>23153211.695305601</v>
      </c>
      <c r="O454">
        <v>25572847.079364099</v>
      </c>
      <c r="P454" s="1">
        <f t="shared" si="44"/>
        <v>5.7618740011493016E-2</v>
      </c>
      <c r="Q454" s="3">
        <f t="shared" si="45"/>
        <v>5.7618740011493015E-4</v>
      </c>
      <c r="T454">
        <f t="shared" si="46"/>
        <v>2.3918952004432068</v>
      </c>
    </row>
    <row r="455" spans="1:21" x14ac:dyDescent="0.25">
      <c r="A455" t="s">
        <v>474</v>
      </c>
      <c r="B455">
        <v>1380137.4237730999</v>
      </c>
      <c r="C455">
        <v>14700.080972935601</v>
      </c>
      <c r="D455">
        <v>102690.426832998</v>
      </c>
      <c r="E455">
        <v>3931030.2553062001</v>
      </c>
      <c r="F455">
        <v>5428558.1868852396</v>
      </c>
      <c r="G455" s="1">
        <f t="shared" si="42"/>
        <v>0.37255665542511274</v>
      </c>
      <c r="H455" s="3">
        <f t="shared" si="43"/>
        <v>3.7255665542511272E-3</v>
      </c>
      <c r="I455" s="1"/>
      <c r="J455" s="1"/>
      <c r="K455">
        <v>675494.35049556196</v>
      </c>
      <c r="L455">
        <v>10143.8089741353</v>
      </c>
      <c r="M455">
        <v>112704.26483836</v>
      </c>
      <c r="N455">
        <v>7577178.7232429897</v>
      </c>
      <c r="O455">
        <v>8375521.1475510504</v>
      </c>
      <c r="P455" s="1">
        <f t="shared" si="44"/>
        <v>0.13369418435901304</v>
      </c>
      <c r="Q455" s="3">
        <f t="shared" si="45"/>
        <v>1.3369418435901304E-3</v>
      </c>
      <c r="T455">
        <f t="shared" si="46"/>
        <v>2.7866332197717369</v>
      </c>
    </row>
    <row r="456" spans="1:21" x14ac:dyDescent="0.25">
      <c r="A456" t="s">
        <v>475</v>
      </c>
      <c r="B456">
        <v>6792721.5290743196</v>
      </c>
      <c r="C456">
        <v>29681.099348248699</v>
      </c>
      <c r="D456">
        <v>2541172.1916030799</v>
      </c>
      <c r="E456">
        <v>8944057.6553149503</v>
      </c>
      <c r="F456">
        <v>18307632.475340601</v>
      </c>
      <c r="G456" s="1">
        <f t="shared" si="42"/>
        <v>0.33075510843041794</v>
      </c>
      <c r="H456" s="3">
        <f t="shared" si="43"/>
        <v>3.3075510843041792E-3</v>
      </c>
      <c r="K456">
        <v>2724877.97187857</v>
      </c>
      <c r="L456">
        <v>273457.24614999502</v>
      </c>
      <c r="M456">
        <v>415994.54600352101</v>
      </c>
      <c r="N456">
        <v>28446451.858785</v>
      </c>
      <c r="O456">
        <v>31860781.622817099</v>
      </c>
      <c r="P456" s="1">
        <f t="shared" si="44"/>
        <v>0.95215219919692007</v>
      </c>
      <c r="Q456" s="3">
        <f t="shared" si="45"/>
        <v>9.521521991969201E-3</v>
      </c>
      <c r="T456">
        <f t="shared" si="46"/>
        <v>0.3473763004584654</v>
      </c>
      <c r="U456" t="s">
        <v>217</v>
      </c>
    </row>
    <row r="457" spans="1:21" x14ac:dyDescent="0.25">
      <c r="A457" t="s">
        <v>476</v>
      </c>
      <c r="B457">
        <v>3683215.2994678402</v>
      </c>
      <c r="C457">
        <v>10559.3439639398</v>
      </c>
      <c r="D457">
        <v>1231197.8846237101</v>
      </c>
      <c r="E457">
        <v>5799251.7109306399</v>
      </c>
      <c r="F457">
        <v>10724224.238986099</v>
      </c>
      <c r="G457" s="1">
        <f t="shared" si="42"/>
        <v>0.1817502129444277</v>
      </c>
      <c r="H457" s="3">
        <f t="shared" si="43"/>
        <v>1.817502129444277E-3</v>
      </c>
      <c r="I457" s="1"/>
      <c r="J457" s="1"/>
      <c r="K457">
        <v>2725910.49606132</v>
      </c>
      <c r="L457">
        <v>74952.757309894107</v>
      </c>
      <c r="M457">
        <v>460520.04152591003</v>
      </c>
      <c r="N457">
        <v>20881900.1359834</v>
      </c>
      <c r="O457">
        <v>24143283.430880498</v>
      </c>
      <c r="P457" s="1">
        <f t="shared" si="44"/>
        <v>0.35765273388868812</v>
      </c>
      <c r="Q457" s="3">
        <f t="shared" si="45"/>
        <v>3.5765273388868811E-3</v>
      </c>
      <c r="T457">
        <f t="shared" si="46"/>
        <v>0.50817509758220847</v>
      </c>
      <c r="U457" t="s">
        <v>217</v>
      </c>
    </row>
    <row r="458" spans="1:21" x14ac:dyDescent="0.25">
      <c r="A458" t="s">
        <v>477</v>
      </c>
      <c r="B458">
        <v>1073621.8191343001</v>
      </c>
      <c r="C458">
        <v>44158.883734158801</v>
      </c>
      <c r="D458">
        <v>331738.23904432601</v>
      </c>
      <c r="E458">
        <v>4936950.8116287496</v>
      </c>
      <c r="F458">
        <v>6386469.7535415404</v>
      </c>
      <c r="G458" s="1">
        <f t="shared" si="42"/>
        <v>0.88652702780803783</v>
      </c>
      <c r="H458" s="3">
        <f t="shared" si="43"/>
        <v>8.8652702780803779E-3</v>
      </c>
      <c r="K458">
        <v>1152457.7071277599</v>
      </c>
      <c r="L458">
        <v>8438.4597376135007</v>
      </c>
      <c r="M458">
        <v>170003.32100726</v>
      </c>
      <c r="N458">
        <v>11614494.5870509</v>
      </c>
      <c r="O458">
        <v>12945394.0749235</v>
      </c>
      <c r="P458" s="1">
        <f t="shared" si="44"/>
        <v>7.2601809746680915E-2</v>
      </c>
      <c r="Q458" s="3">
        <f t="shared" si="45"/>
        <v>7.2601809746680919E-4</v>
      </c>
      <c r="T458">
        <f t="shared" si="46"/>
        <v>12.210811698789181</v>
      </c>
    </row>
    <row r="459" spans="1:21" x14ac:dyDescent="0.25">
      <c r="A459" t="s">
        <v>478</v>
      </c>
      <c r="B459">
        <v>2796927.9659265699</v>
      </c>
      <c r="C459">
        <v>1769.8224048592001</v>
      </c>
      <c r="D459">
        <v>1607482.1954427201</v>
      </c>
      <c r="E459">
        <v>2338768.6831400301</v>
      </c>
      <c r="F459">
        <v>6744948.6669142004</v>
      </c>
      <c r="G459" s="1">
        <f t="shared" si="42"/>
        <v>7.5616034543605021E-2</v>
      </c>
      <c r="H459" s="3">
        <f t="shared" si="43"/>
        <v>7.5616034543605018E-4</v>
      </c>
      <c r="K459">
        <v>1812100.14597185</v>
      </c>
      <c r="L459">
        <v>16021.9337818071</v>
      </c>
      <c r="M459">
        <v>365702.15694861201</v>
      </c>
      <c r="N459">
        <v>20144665.228498802</v>
      </c>
      <c r="O459">
        <v>22338489.465201098</v>
      </c>
      <c r="P459" s="1">
        <f t="shared" si="44"/>
        <v>7.9471169076930775E-2</v>
      </c>
      <c r="Q459" s="3">
        <f t="shared" si="45"/>
        <v>7.9471169076930778E-4</v>
      </c>
      <c r="T459">
        <f t="shared" si="46"/>
        <v>0.95149014947050969</v>
      </c>
      <c r="U459" t="s">
        <v>217</v>
      </c>
    </row>
    <row r="460" spans="1:21" x14ac:dyDescent="0.25">
      <c r="A460" t="s">
        <v>479</v>
      </c>
      <c r="B460">
        <v>1003581.25990461</v>
      </c>
      <c r="C460">
        <v>5262.0664245621301</v>
      </c>
      <c r="D460">
        <v>1050358.0179709699</v>
      </c>
      <c r="E460">
        <v>4619253.7505980097</v>
      </c>
      <c r="F460">
        <v>6678455.0948981699</v>
      </c>
      <c r="G460" s="1">
        <f t="shared" si="42"/>
        <v>0.11378632126616958</v>
      </c>
      <c r="H460" s="3">
        <f t="shared" si="43"/>
        <v>1.1378632126616958E-3</v>
      </c>
      <c r="K460">
        <v>1616675.1625983501</v>
      </c>
      <c r="L460">
        <v>29632.5277994444</v>
      </c>
      <c r="M460">
        <v>2171830.4585703001</v>
      </c>
      <c r="N460">
        <v>26614101.062635601</v>
      </c>
      <c r="O460">
        <v>30432239.211603701</v>
      </c>
      <c r="P460" s="1">
        <f t="shared" si="44"/>
        <v>0.11121762533341917</v>
      </c>
      <c r="Q460" s="3">
        <f t="shared" si="45"/>
        <v>1.1121762533341916E-3</v>
      </c>
      <c r="T460">
        <f t="shared" si="46"/>
        <v>1.023096122804724</v>
      </c>
    </row>
    <row r="461" spans="1:21" x14ac:dyDescent="0.25">
      <c r="A461" t="s">
        <v>480</v>
      </c>
      <c r="B461">
        <v>2442816.4619154502</v>
      </c>
      <c r="C461">
        <v>7573.6246832096704</v>
      </c>
      <c r="D461">
        <v>1781463.5036122701</v>
      </c>
      <c r="E461">
        <v>4179642.34566268</v>
      </c>
      <c r="F461">
        <v>8411495.9358736109</v>
      </c>
      <c r="G461" s="1">
        <f t="shared" si="42"/>
        <v>0.18087494738381127</v>
      </c>
      <c r="H461" s="3">
        <f t="shared" si="43"/>
        <v>1.8087494738381127E-3</v>
      </c>
      <c r="K461">
        <v>896986.82483038399</v>
      </c>
      <c r="L461">
        <v>5925.2832726057304</v>
      </c>
      <c r="M461">
        <v>716135.71262760099</v>
      </c>
      <c r="N461">
        <v>14651707.1641316</v>
      </c>
      <c r="O461">
        <v>16270754.984862201</v>
      </c>
      <c r="P461" s="1">
        <f t="shared" si="44"/>
        <v>4.0424558972039643E-2</v>
      </c>
      <c r="Q461" s="3">
        <f t="shared" si="45"/>
        <v>4.0424558972039639E-4</v>
      </c>
      <c r="T461">
        <f t="shared" si="46"/>
        <v>4.4743827015878299</v>
      </c>
    </row>
    <row r="462" spans="1:21" x14ac:dyDescent="0.25">
      <c r="A462" t="s">
        <v>481</v>
      </c>
      <c r="B462">
        <v>263935.62734909402</v>
      </c>
      <c r="C462">
        <v>1098.08687725144</v>
      </c>
      <c r="D462">
        <v>193124.814838725</v>
      </c>
      <c r="E462">
        <v>353410.27267911797</v>
      </c>
      <c r="F462">
        <v>811568.801744189</v>
      </c>
      <c r="G462" s="1">
        <f t="shared" si="42"/>
        <v>0.30974921963069707</v>
      </c>
      <c r="H462" s="3">
        <f t="shared" si="43"/>
        <v>3.0974921963069705E-3</v>
      </c>
      <c r="K462">
        <v>1590915.3130095601</v>
      </c>
      <c r="L462">
        <v>8703.3102605161803</v>
      </c>
      <c r="M462">
        <v>779699.98834643594</v>
      </c>
      <c r="N462">
        <v>16552956.364497</v>
      </c>
      <c r="O462">
        <v>18932274.976113599</v>
      </c>
      <c r="P462" s="1">
        <f t="shared" si="44"/>
        <v>5.2550954623112725E-2</v>
      </c>
      <c r="Q462" s="3">
        <f t="shared" si="45"/>
        <v>5.2550954623112724E-4</v>
      </c>
      <c r="T462">
        <f t="shared" si="46"/>
        <v>5.8942643735431695</v>
      </c>
    </row>
    <row r="463" spans="1:21" x14ac:dyDescent="0.25">
      <c r="A463" t="s">
        <v>482</v>
      </c>
      <c r="B463">
        <v>5794657.8295064904</v>
      </c>
      <c r="C463">
        <v>16857.806580030301</v>
      </c>
      <c r="D463">
        <v>3081187.4804723798</v>
      </c>
      <c r="E463">
        <v>6491848.0239030002</v>
      </c>
      <c r="F463">
        <v>15384551.140461899</v>
      </c>
      <c r="G463" s="1">
        <f t="shared" si="42"/>
        <v>0.2590039712822485</v>
      </c>
      <c r="H463" s="3">
        <f t="shared" si="43"/>
        <v>2.5900397128224848E-3</v>
      </c>
      <c r="K463">
        <v>3589992.47590141</v>
      </c>
      <c r="L463">
        <v>18162.409856219401</v>
      </c>
      <c r="M463">
        <v>564272.49952644994</v>
      </c>
      <c r="N463">
        <v>36583075.284261502</v>
      </c>
      <c r="O463">
        <v>40755502.669545501</v>
      </c>
      <c r="P463" s="1">
        <f t="shared" si="44"/>
        <v>4.9622392575916441E-2</v>
      </c>
      <c r="Q463" s="3">
        <f t="shared" si="45"/>
        <v>4.9622392575916438E-4</v>
      </c>
      <c r="T463">
        <f t="shared" si="46"/>
        <v>5.2194978483958181</v>
      </c>
    </row>
    <row r="464" spans="1:21" x14ac:dyDescent="0.25">
      <c r="A464" t="s">
        <v>483</v>
      </c>
      <c r="B464">
        <v>2973830.4683881002</v>
      </c>
      <c r="C464">
        <v>89219.262655595405</v>
      </c>
      <c r="D464">
        <v>472325.19739672798</v>
      </c>
      <c r="E464">
        <v>8077277.9706523595</v>
      </c>
      <c r="F464">
        <v>11612652.8990927</v>
      </c>
      <c r="G464" s="1">
        <f t="shared" si="42"/>
        <v>1.0925034333166104</v>
      </c>
      <c r="H464" s="3">
        <f t="shared" si="43"/>
        <v>1.0925034333166104E-2</v>
      </c>
      <c r="K464">
        <v>957861.405013229</v>
      </c>
      <c r="L464">
        <v>6610.3638852518798</v>
      </c>
      <c r="M464">
        <v>353015.53890036501</v>
      </c>
      <c r="N464">
        <v>9473583.1177423503</v>
      </c>
      <c r="O464">
        <v>10791070.425541099</v>
      </c>
      <c r="P464" s="1">
        <f t="shared" si="44"/>
        <v>6.9728153735075279E-2</v>
      </c>
      <c r="Q464" s="3">
        <f t="shared" si="45"/>
        <v>6.9728153735075277E-4</v>
      </c>
      <c r="T464">
        <f t="shared" si="46"/>
        <v>15.668039017173196</v>
      </c>
    </row>
    <row r="465" spans="1:21" x14ac:dyDescent="0.25">
      <c r="A465" t="s">
        <v>484</v>
      </c>
      <c r="B465">
        <v>824887.51945557399</v>
      </c>
      <c r="C465">
        <v>4583.0188617568101</v>
      </c>
      <c r="D465">
        <v>221751.06211624699</v>
      </c>
      <c r="E465">
        <v>2283305.4262687298</v>
      </c>
      <c r="F465">
        <v>3334527.02670231</v>
      </c>
      <c r="G465" s="1">
        <f t="shared" si="42"/>
        <v>0.20031653516635614</v>
      </c>
      <c r="H465" s="3">
        <f t="shared" si="43"/>
        <v>2.0031653516635614E-3</v>
      </c>
      <c r="K465">
        <v>995002.18299952301</v>
      </c>
      <c r="L465">
        <v>2354.0658770433902</v>
      </c>
      <c r="M465">
        <v>168191.81200454701</v>
      </c>
      <c r="N465">
        <v>11191538.924974401</v>
      </c>
      <c r="O465">
        <v>12357086.985855499</v>
      </c>
      <c r="P465" s="1">
        <f t="shared" si="44"/>
        <v>2.1029912283129056E-2</v>
      </c>
      <c r="Q465" s="3">
        <f t="shared" si="45"/>
        <v>2.1029912283129058E-4</v>
      </c>
      <c r="T465">
        <f t="shared" si="46"/>
        <v>9.5253148215485979</v>
      </c>
    </row>
    <row r="466" spans="1:21" x14ac:dyDescent="0.25">
      <c r="A466" t="s">
        <v>485</v>
      </c>
      <c r="B466">
        <v>4128930.91018249</v>
      </c>
      <c r="C466">
        <v>26806.112674363299</v>
      </c>
      <c r="D466">
        <v>2121769.1693115202</v>
      </c>
      <c r="E466">
        <v>5211002.3816094203</v>
      </c>
      <c r="F466">
        <v>11488508.5737778</v>
      </c>
      <c r="G466" s="1">
        <f t="shared" si="42"/>
        <v>0.51178107606679046</v>
      </c>
      <c r="H466" s="3">
        <f t="shared" si="43"/>
        <v>5.1178107606679041E-3</v>
      </c>
      <c r="K466">
        <v>1521115.7061167301</v>
      </c>
      <c r="L466">
        <v>22297.1272544233</v>
      </c>
      <c r="M466">
        <v>781721.05307962606</v>
      </c>
      <c r="N466">
        <v>22677232.781796001</v>
      </c>
      <c r="O466">
        <v>25002366.668246798</v>
      </c>
      <c r="P466" s="1">
        <f t="shared" si="44"/>
        <v>9.8227264369617248E-2</v>
      </c>
      <c r="Q466" s="3">
        <f t="shared" si="45"/>
        <v>9.822726436961725E-4</v>
      </c>
      <c r="T466">
        <f t="shared" si="46"/>
        <v>5.2101733602294011</v>
      </c>
    </row>
    <row r="467" spans="1:21" x14ac:dyDescent="0.25">
      <c r="A467" t="s">
        <v>486</v>
      </c>
      <c r="B467">
        <v>1633990.8059081</v>
      </c>
      <c r="C467">
        <v>10599.523758527899</v>
      </c>
      <c r="D467">
        <v>431288.62108731503</v>
      </c>
      <c r="E467">
        <v>6296567.7684577201</v>
      </c>
      <c r="F467">
        <v>8372446.7192116603</v>
      </c>
      <c r="G467" s="1">
        <f t="shared" ref="G467:G502" si="47">(C467/(C467+E467))*100</f>
        <v>0.16805521825319111</v>
      </c>
      <c r="H467" s="3">
        <f t="shared" ref="H467:H502" si="48">(C467/(C467+E467))</f>
        <v>1.6805521825319111E-3</v>
      </c>
      <c r="K467">
        <v>1712395.21348522</v>
      </c>
      <c r="L467">
        <v>3929.5736143522799</v>
      </c>
      <c r="M467">
        <v>503438.50794100401</v>
      </c>
      <c r="N467">
        <v>14706014.4296456</v>
      </c>
      <c r="O467">
        <v>16925777.724686202</v>
      </c>
      <c r="P467" s="1">
        <f t="shared" ref="P467:P502" si="49">(L467/(L467+N467))*100</f>
        <v>2.6713722455241336E-2</v>
      </c>
      <c r="Q467" s="3">
        <f t="shared" ref="Q467:Q502" si="50">(L467/(L467+N467))</f>
        <v>2.6713722455241337E-4</v>
      </c>
      <c r="T467">
        <f t="shared" ref="T467:T502" si="51">H467/Q467</f>
        <v>6.2909696892586391</v>
      </c>
    </row>
    <row r="468" spans="1:21" x14ac:dyDescent="0.25">
      <c r="A468" t="s">
        <v>487</v>
      </c>
      <c r="B468">
        <v>2737490.3817702401</v>
      </c>
      <c r="C468">
        <v>883.08884224427402</v>
      </c>
      <c r="D468">
        <v>1200873.2816716901</v>
      </c>
      <c r="E468">
        <v>6754508.47260282</v>
      </c>
      <c r="F468">
        <v>10693755.224887</v>
      </c>
      <c r="G468" s="1">
        <f t="shared" si="47"/>
        <v>1.3072356120469945E-2</v>
      </c>
      <c r="H468" s="3">
        <f t="shared" si="48"/>
        <v>1.3072356120469945E-4</v>
      </c>
      <c r="I468" s="1"/>
      <c r="J468" s="1"/>
      <c r="K468">
        <v>1123468.7833301099</v>
      </c>
      <c r="L468">
        <v>2488.92577408324</v>
      </c>
      <c r="M468">
        <v>420748.71138455498</v>
      </c>
      <c r="N468">
        <v>15483132.2918272</v>
      </c>
      <c r="O468">
        <v>17029838.712315999</v>
      </c>
      <c r="P468" s="1">
        <f t="shared" si="49"/>
        <v>1.6072495504760729E-2</v>
      </c>
      <c r="Q468" s="3">
        <f t="shared" si="50"/>
        <v>1.607249550476073E-4</v>
      </c>
      <c r="T468">
        <f t="shared" si="51"/>
        <v>0.8133370525191852</v>
      </c>
      <c r="U468" t="s">
        <v>217</v>
      </c>
    </row>
    <row r="469" spans="1:21" x14ac:dyDescent="0.25">
      <c r="A469" t="s">
        <v>488</v>
      </c>
      <c r="B469">
        <v>2096169.1336710399</v>
      </c>
      <c r="C469">
        <v>36742.3771023999</v>
      </c>
      <c r="D469">
        <v>450092.904800052</v>
      </c>
      <c r="E469">
        <v>5417220.6225437801</v>
      </c>
      <c r="F469">
        <v>8000225.0381172802</v>
      </c>
      <c r="G469" s="1">
        <f t="shared" si="47"/>
        <v>0.67368218495034748</v>
      </c>
      <c r="H469" s="3">
        <f t="shared" si="48"/>
        <v>6.736821849503475E-3</v>
      </c>
      <c r="K469">
        <v>1813524.4378746499</v>
      </c>
      <c r="L469">
        <v>3763.1540684750998</v>
      </c>
      <c r="M469">
        <v>470564.31716803397</v>
      </c>
      <c r="N469">
        <v>17051886.0123647</v>
      </c>
      <c r="O469">
        <v>19339737.921475898</v>
      </c>
      <c r="P469" s="1">
        <f t="shared" si="49"/>
        <v>2.206397441547564E-2</v>
      </c>
      <c r="Q469" s="3">
        <f t="shared" si="50"/>
        <v>2.2063974415475641E-4</v>
      </c>
      <c r="T469">
        <f t="shared" si="51"/>
        <v>30.533129356686878</v>
      </c>
    </row>
    <row r="470" spans="1:21" x14ac:dyDescent="0.25">
      <c r="A470" t="s">
        <v>489</v>
      </c>
      <c r="B470">
        <v>2720190.1944126301</v>
      </c>
      <c r="C470">
        <v>12301.2317585284</v>
      </c>
      <c r="D470">
        <v>763056.56904262805</v>
      </c>
      <c r="E470">
        <v>8603717.3859808892</v>
      </c>
      <c r="F470">
        <v>12099265.381194601</v>
      </c>
      <c r="G470" s="1">
        <f t="shared" si="47"/>
        <v>0.14277164783745405</v>
      </c>
      <c r="H470" s="3">
        <f t="shared" si="48"/>
        <v>1.4277164783745406E-3</v>
      </c>
      <c r="I470" s="1"/>
      <c r="J470" s="1"/>
      <c r="K470">
        <v>1239358.51356984</v>
      </c>
      <c r="L470">
        <v>3585.7841563321699</v>
      </c>
      <c r="M470">
        <v>230259.08890870001</v>
      </c>
      <c r="N470">
        <v>15635250.623889601</v>
      </c>
      <c r="O470">
        <v>17108454.0105244</v>
      </c>
      <c r="P470" s="1">
        <f t="shared" si="49"/>
        <v>2.2928714533309785E-2</v>
      </c>
      <c r="Q470" s="3">
        <f t="shared" si="50"/>
        <v>2.2928714533309785E-4</v>
      </c>
      <c r="T470">
        <f t="shared" si="51"/>
        <v>6.2267619769979667</v>
      </c>
    </row>
    <row r="471" spans="1:21" x14ac:dyDescent="0.25">
      <c r="A471" t="s">
        <v>490</v>
      </c>
      <c r="B471">
        <v>3684057.9269784498</v>
      </c>
      <c r="C471">
        <v>27179.932775631401</v>
      </c>
      <c r="D471">
        <v>1656706.54689349</v>
      </c>
      <c r="E471">
        <v>8648500.1004711594</v>
      </c>
      <c r="F471">
        <v>14016444.5071187</v>
      </c>
      <c r="G471" s="1">
        <f t="shared" si="47"/>
        <v>0.3132887874088594</v>
      </c>
      <c r="H471" s="3">
        <f t="shared" si="48"/>
        <v>3.132887874088594E-3</v>
      </c>
      <c r="K471">
        <v>2091134.8208272001</v>
      </c>
      <c r="L471">
        <v>5964.1343371625999</v>
      </c>
      <c r="M471">
        <v>738522.59957640804</v>
      </c>
      <c r="N471">
        <v>20268741.278688502</v>
      </c>
      <c r="O471">
        <v>23104362.833429299</v>
      </c>
      <c r="P471" s="1">
        <f t="shared" si="49"/>
        <v>2.9416626361095679E-2</v>
      </c>
      <c r="Q471" s="3">
        <f t="shared" si="50"/>
        <v>2.941662636109568E-4</v>
      </c>
      <c r="T471">
        <f t="shared" si="51"/>
        <v>10.650058356902296</v>
      </c>
    </row>
    <row r="472" spans="1:21" x14ac:dyDescent="0.25">
      <c r="A472" t="s">
        <v>491</v>
      </c>
      <c r="B472">
        <v>4399727.1130793104</v>
      </c>
      <c r="C472">
        <v>14388.133086041</v>
      </c>
      <c r="D472">
        <v>1738599.08060653</v>
      </c>
      <c r="E472">
        <v>6254752.8530383799</v>
      </c>
      <c r="F472">
        <v>12407467.1798102</v>
      </c>
      <c r="G472" s="1">
        <f t="shared" si="47"/>
        <v>0.22950725016212684</v>
      </c>
      <c r="H472" s="3">
        <f t="shared" si="48"/>
        <v>2.2950725016212684E-3</v>
      </c>
      <c r="I472" s="1"/>
      <c r="J472" s="1"/>
      <c r="K472">
        <v>570434.511642267</v>
      </c>
      <c r="L472">
        <v>4485.8907122625296</v>
      </c>
      <c r="M472">
        <v>610921.70994457498</v>
      </c>
      <c r="N472">
        <v>12351292.118375299</v>
      </c>
      <c r="O472">
        <v>13537134.230674401</v>
      </c>
      <c r="P472" s="1">
        <f t="shared" si="49"/>
        <v>3.6306015768195234E-2</v>
      </c>
      <c r="Q472" s="3">
        <f t="shared" si="50"/>
        <v>3.6306015768195236E-4</v>
      </c>
      <c r="T472">
        <f t="shared" si="51"/>
        <v>6.3214661621774422</v>
      </c>
    </row>
    <row r="473" spans="1:21" x14ac:dyDescent="0.25">
      <c r="A473" t="s">
        <v>492</v>
      </c>
      <c r="B473">
        <v>1575171.4864463001</v>
      </c>
      <c r="C473">
        <v>2712.4535985781299</v>
      </c>
      <c r="D473">
        <v>367210.09751785302</v>
      </c>
      <c r="E473">
        <v>2749273.9718338898</v>
      </c>
      <c r="F473">
        <v>4694368.0093966303</v>
      </c>
      <c r="G473" s="1">
        <f t="shared" si="47"/>
        <v>9.8563480310477E-2</v>
      </c>
      <c r="H473" s="3">
        <f t="shared" si="48"/>
        <v>9.8563480310476996E-4</v>
      </c>
      <c r="K473">
        <v>1884730.1015449399</v>
      </c>
      <c r="L473">
        <v>9148.0018141029705</v>
      </c>
      <c r="M473">
        <v>222672.640625236</v>
      </c>
      <c r="N473">
        <v>17258495.592957199</v>
      </c>
      <c r="O473">
        <v>19375046.336941499</v>
      </c>
      <c r="P473" s="1">
        <f t="shared" si="49"/>
        <v>5.2977708069403363E-2</v>
      </c>
      <c r="Q473" s="3">
        <f t="shared" si="50"/>
        <v>5.2977708069403364E-4</v>
      </c>
      <c r="T473">
        <f t="shared" si="51"/>
        <v>1.8604708263587784</v>
      </c>
    </row>
    <row r="474" spans="1:21" x14ac:dyDescent="0.25">
      <c r="A474" t="s">
        <v>493</v>
      </c>
      <c r="B474">
        <v>3398590.8333719699</v>
      </c>
      <c r="C474">
        <v>9259.6976070016608</v>
      </c>
      <c r="D474">
        <v>565175.59795231803</v>
      </c>
      <c r="E474">
        <v>4108526.4920509402</v>
      </c>
      <c r="F474">
        <v>8081552.62098224</v>
      </c>
      <c r="G474" s="1">
        <f t="shared" si="47"/>
        <v>0.22487077231590913</v>
      </c>
      <c r="H474" s="3">
        <f t="shared" si="48"/>
        <v>2.2487077231590912E-3</v>
      </c>
      <c r="K474">
        <v>4614267.7801235504</v>
      </c>
      <c r="L474">
        <v>17529.410490179798</v>
      </c>
      <c r="M474">
        <v>443355.24459917803</v>
      </c>
      <c r="N474">
        <v>21403132.0410228</v>
      </c>
      <c r="O474">
        <v>26478284.476235699</v>
      </c>
      <c r="P474" s="1">
        <f t="shared" si="49"/>
        <v>8.1834123235917447E-2</v>
      </c>
      <c r="Q474" s="3">
        <f t="shared" si="50"/>
        <v>8.1834123235917453E-4</v>
      </c>
      <c r="T474">
        <f t="shared" si="51"/>
        <v>2.747885153820675</v>
      </c>
    </row>
    <row r="475" spans="1:21" x14ac:dyDescent="0.25">
      <c r="A475" t="s">
        <v>494</v>
      </c>
      <c r="B475">
        <v>3798996.2897890098</v>
      </c>
      <c r="C475">
        <v>22418.6045883062</v>
      </c>
      <c r="D475">
        <v>2308946.2138264501</v>
      </c>
      <c r="E475">
        <v>10625375.142838201</v>
      </c>
      <c r="F475">
        <v>16755736.251041999</v>
      </c>
      <c r="G475" s="1">
        <f t="shared" si="47"/>
        <v>0.21054694634486709</v>
      </c>
      <c r="H475" s="3">
        <f t="shared" si="48"/>
        <v>2.1054694634486709E-3</v>
      </c>
      <c r="K475">
        <v>687410.34171839105</v>
      </c>
      <c r="L475">
        <v>13782.048529417099</v>
      </c>
      <c r="M475">
        <v>897771.82437976298</v>
      </c>
      <c r="N475">
        <v>13446133.872240599</v>
      </c>
      <c r="O475">
        <v>15045098.0868681</v>
      </c>
      <c r="P475" s="1">
        <f t="shared" si="49"/>
        <v>0.10239327355789794</v>
      </c>
      <c r="Q475" s="3">
        <f t="shared" si="50"/>
        <v>1.0239327355789794E-3</v>
      </c>
      <c r="T475">
        <f t="shared" si="51"/>
        <v>2.0562575941652459</v>
      </c>
    </row>
    <row r="476" spans="1:21" x14ac:dyDescent="0.25">
      <c r="A476" t="s">
        <v>495</v>
      </c>
      <c r="B476">
        <v>1637206.47654088</v>
      </c>
      <c r="C476">
        <v>19262.781763618299</v>
      </c>
      <c r="D476">
        <v>191670.63059937299</v>
      </c>
      <c r="E476">
        <v>6431834.0850007497</v>
      </c>
      <c r="F476">
        <v>8279973.9739046199</v>
      </c>
      <c r="G476" s="1">
        <f t="shared" si="47"/>
        <v>0.29859700081173635</v>
      </c>
      <c r="H476" s="3">
        <f t="shared" si="48"/>
        <v>2.9859700081173637E-3</v>
      </c>
      <c r="K476">
        <v>1013172.76082837</v>
      </c>
      <c r="L476">
        <v>31528.866405377499</v>
      </c>
      <c r="M476">
        <v>287464.645950771</v>
      </c>
      <c r="N476">
        <v>15557807.131991399</v>
      </c>
      <c r="O476">
        <v>16889973.405175898</v>
      </c>
      <c r="P476" s="1">
        <f t="shared" si="49"/>
        <v>0.20224637154924338</v>
      </c>
      <c r="Q476" s="3">
        <f t="shared" si="50"/>
        <v>2.0224637154924339E-3</v>
      </c>
      <c r="T476">
        <f t="shared" si="51"/>
        <v>1.4764022638548713</v>
      </c>
    </row>
    <row r="477" spans="1:21" x14ac:dyDescent="0.25">
      <c r="A477" t="s">
        <v>496</v>
      </c>
      <c r="B477">
        <v>4100688.4696745998</v>
      </c>
      <c r="C477">
        <v>1160.0470186832999</v>
      </c>
      <c r="D477">
        <v>1749245.22449838</v>
      </c>
      <c r="E477">
        <v>3986505.8311863998</v>
      </c>
      <c r="F477">
        <v>9837599.5723780692</v>
      </c>
      <c r="G477" s="1">
        <f t="shared" si="47"/>
        <v>2.9090878075408291E-2</v>
      </c>
      <c r="H477" s="3">
        <f t="shared" si="48"/>
        <v>2.909087807540829E-4</v>
      </c>
      <c r="K477">
        <v>1358727.2390706099</v>
      </c>
      <c r="L477">
        <v>3001.54574153555</v>
      </c>
      <c r="M477">
        <v>374584.64852297999</v>
      </c>
      <c r="N477">
        <v>13973038.4348385</v>
      </c>
      <c r="O477">
        <v>15709351.868173599</v>
      </c>
      <c r="P477" s="1">
        <f t="shared" si="49"/>
        <v>2.1476367738688877E-2</v>
      </c>
      <c r="Q477" s="3">
        <f t="shared" si="50"/>
        <v>2.1476367738688877E-4</v>
      </c>
      <c r="T477">
        <f t="shared" si="51"/>
        <v>1.3545529872354605</v>
      </c>
    </row>
    <row r="478" spans="1:21" x14ac:dyDescent="0.25">
      <c r="A478" t="s">
        <v>497</v>
      </c>
      <c r="B478">
        <v>4556004.4002644904</v>
      </c>
      <c r="C478">
        <v>15075.7259670207</v>
      </c>
      <c r="D478">
        <v>2017304.86569287</v>
      </c>
      <c r="E478">
        <v>9959082.1509157401</v>
      </c>
      <c r="F478">
        <v>16547467.1428401</v>
      </c>
      <c r="G478" s="1">
        <f t="shared" si="47"/>
        <v>0.15114785782528983</v>
      </c>
      <c r="H478" s="3">
        <f t="shared" si="48"/>
        <v>1.5114785782528984E-3</v>
      </c>
      <c r="K478">
        <v>1050350.8875233999</v>
      </c>
      <c r="L478">
        <v>5375.0775444417704</v>
      </c>
      <c r="M478">
        <v>250929.26978996699</v>
      </c>
      <c r="N478">
        <v>16299329.2692529</v>
      </c>
      <c r="O478">
        <v>17605984.504110701</v>
      </c>
      <c r="P478" s="1">
        <f t="shared" si="49"/>
        <v>3.2966421408908111E-2</v>
      </c>
      <c r="Q478" s="3">
        <f t="shared" si="50"/>
        <v>3.2966421408908112E-4</v>
      </c>
      <c r="T478">
        <f t="shared" si="51"/>
        <v>4.5849034067266699</v>
      </c>
    </row>
    <row r="479" spans="1:21" x14ac:dyDescent="0.25">
      <c r="A479" t="s">
        <v>498</v>
      </c>
      <c r="B479">
        <v>1799244.7170480399</v>
      </c>
      <c r="C479">
        <v>8970.5267006967897</v>
      </c>
      <c r="D479">
        <v>331634.96672952402</v>
      </c>
      <c r="E479">
        <v>7442083.7821050696</v>
      </c>
      <c r="F479">
        <v>9581933.9925833307</v>
      </c>
      <c r="G479" s="1">
        <f t="shared" si="47"/>
        <v>0.12039271664005037</v>
      </c>
      <c r="H479" s="3">
        <f t="shared" si="48"/>
        <v>1.2039271664005037E-3</v>
      </c>
      <c r="K479">
        <v>688293.87666298298</v>
      </c>
      <c r="L479">
        <v>7607.6382838813797</v>
      </c>
      <c r="M479">
        <v>922453.16889679804</v>
      </c>
      <c r="N479">
        <v>17495056.062511802</v>
      </c>
      <c r="O479">
        <v>19113410.7463555</v>
      </c>
      <c r="P479" s="1">
        <f t="shared" si="49"/>
        <v>4.3465602801564029E-2</v>
      </c>
      <c r="Q479" s="3">
        <f t="shared" si="50"/>
        <v>4.3465602801564032E-4</v>
      </c>
      <c r="T479">
        <f t="shared" si="51"/>
        <v>2.7698388813261379</v>
      </c>
    </row>
    <row r="480" spans="1:21" x14ac:dyDescent="0.25">
      <c r="A480" t="s">
        <v>499</v>
      </c>
      <c r="B480">
        <v>546076.69327260402</v>
      </c>
      <c r="C480">
        <v>5996.9317436756901</v>
      </c>
      <c r="D480">
        <v>96006.783706023794</v>
      </c>
      <c r="E480">
        <v>7150581.3148243204</v>
      </c>
      <c r="F480">
        <v>7798661.7235466205</v>
      </c>
      <c r="G480" s="1">
        <f t="shared" si="47"/>
        <v>8.3796075960625105E-2</v>
      </c>
      <c r="H480" s="3">
        <f t="shared" si="48"/>
        <v>8.3796075960625106E-4</v>
      </c>
      <c r="K480">
        <v>2712165.52382875</v>
      </c>
      <c r="L480">
        <v>10519.228053520599</v>
      </c>
      <c r="M480">
        <v>238787.69150638001</v>
      </c>
      <c r="N480">
        <v>26117010.653986201</v>
      </c>
      <c r="O480">
        <v>29078483.097374801</v>
      </c>
      <c r="P480" s="1">
        <f t="shared" si="49"/>
        <v>4.0261088977843258E-2</v>
      </c>
      <c r="Q480" s="3">
        <f t="shared" si="50"/>
        <v>4.026108897784326E-4</v>
      </c>
      <c r="T480">
        <f t="shared" si="51"/>
        <v>2.0813166779155003</v>
      </c>
    </row>
    <row r="481" spans="1:21" x14ac:dyDescent="0.25">
      <c r="A481" t="s">
        <v>500</v>
      </c>
      <c r="B481">
        <v>4878970.1299794205</v>
      </c>
      <c r="C481">
        <v>32948.885403376502</v>
      </c>
      <c r="D481">
        <v>2185959.6384961498</v>
      </c>
      <c r="E481">
        <v>4870730.7828940302</v>
      </c>
      <c r="F481">
        <v>11968609.4367729</v>
      </c>
      <c r="G481" s="1">
        <f t="shared" si="47"/>
        <v>0.67192165133446813</v>
      </c>
      <c r="H481" s="3">
        <f t="shared" si="48"/>
        <v>6.7192165133446811E-3</v>
      </c>
      <c r="K481">
        <v>3874174.2824780298</v>
      </c>
      <c r="L481">
        <v>20630.5574079611</v>
      </c>
      <c r="M481">
        <v>546376.94201694196</v>
      </c>
      <c r="N481">
        <v>29115629.688776702</v>
      </c>
      <c r="O481">
        <v>33556811.4706797</v>
      </c>
      <c r="P481" s="1">
        <f t="shared" si="49"/>
        <v>7.0807156559025558E-2</v>
      </c>
      <c r="Q481" s="3">
        <f t="shared" si="50"/>
        <v>7.0807156559025562E-4</v>
      </c>
      <c r="T481">
        <f t="shared" si="51"/>
        <v>9.4894595968466469</v>
      </c>
    </row>
    <row r="482" spans="1:21" x14ac:dyDescent="0.25">
      <c r="A482" t="s">
        <v>501</v>
      </c>
      <c r="B482">
        <v>2973227.0069753202</v>
      </c>
      <c r="C482">
        <v>30062.239252056399</v>
      </c>
      <c r="D482">
        <v>1360617.2643661699</v>
      </c>
      <c r="E482">
        <v>8889684.3746643197</v>
      </c>
      <c r="F482">
        <v>13253590.885257799</v>
      </c>
      <c r="G482" s="1">
        <f t="shared" si="47"/>
        <v>0.33703019326977302</v>
      </c>
      <c r="H482" s="3">
        <f t="shared" si="48"/>
        <v>3.3703019326977303E-3</v>
      </c>
      <c r="K482">
        <v>730671.90196646296</v>
      </c>
      <c r="L482">
        <v>5310.6028530441799</v>
      </c>
      <c r="M482">
        <v>51434.621960041797</v>
      </c>
      <c r="N482">
        <v>13361894.6299017</v>
      </c>
      <c r="O482">
        <v>14149311.756681301</v>
      </c>
      <c r="P482" s="1">
        <f t="shared" si="49"/>
        <v>3.972859517433891E-2</v>
      </c>
      <c r="Q482" s="3">
        <f t="shared" si="50"/>
        <v>3.9728595174338911E-4</v>
      </c>
      <c r="T482">
        <f t="shared" si="51"/>
        <v>8.4833151484667688</v>
      </c>
    </row>
    <row r="483" spans="1:21" x14ac:dyDescent="0.25">
      <c r="A483" t="s">
        <v>502</v>
      </c>
      <c r="B483">
        <v>3363123.4178414601</v>
      </c>
      <c r="C483">
        <v>8065.6762829088602</v>
      </c>
      <c r="D483">
        <v>758533.12483737001</v>
      </c>
      <c r="E483">
        <v>7011394.0011996999</v>
      </c>
      <c r="F483">
        <v>11141116.220161401</v>
      </c>
      <c r="G483" s="1">
        <f t="shared" si="47"/>
        <v>0.11490451763377686</v>
      </c>
      <c r="H483" s="3">
        <f t="shared" si="48"/>
        <v>1.1490451763377686E-3</v>
      </c>
      <c r="K483">
        <v>1850059.6385510799</v>
      </c>
      <c r="L483">
        <v>5096.92434986229</v>
      </c>
      <c r="M483">
        <v>355318.54917809</v>
      </c>
      <c r="N483">
        <v>16198132.478367301</v>
      </c>
      <c r="O483">
        <v>18408607.590446301</v>
      </c>
      <c r="P483" s="1">
        <f t="shared" si="49"/>
        <v>3.1456225318932864E-2</v>
      </c>
      <c r="Q483" s="3">
        <f t="shared" si="50"/>
        <v>3.1456225318932861E-4</v>
      </c>
      <c r="T483">
        <f t="shared" si="51"/>
        <v>3.6528387137606804</v>
      </c>
    </row>
    <row r="484" spans="1:21" x14ac:dyDescent="0.25">
      <c r="A484" t="s">
        <v>503</v>
      </c>
      <c r="B484">
        <v>2730460.4562631999</v>
      </c>
      <c r="C484">
        <v>11752.1627977317</v>
      </c>
      <c r="D484">
        <v>965325.68894025905</v>
      </c>
      <c r="E484">
        <v>9474672.6026302408</v>
      </c>
      <c r="F484">
        <v>13182210.9106314</v>
      </c>
      <c r="G484" s="1">
        <f t="shared" si="47"/>
        <v>0.12388400359807746</v>
      </c>
      <c r="H484" s="3">
        <f t="shared" si="48"/>
        <v>1.2388400359807745E-3</v>
      </c>
      <c r="K484">
        <v>625493.22572622099</v>
      </c>
      <c r="L484">
        <v>34762.108004701498</v>
      </c>
      <c r="M484">
        <v>104187.93381393699</v>
      </c>
      <c r="N484">
        <v>18438359.952121198</v>
      </c>
      <c r="O484">
        <v>19202803.219666101</v>
      </c>
      <c r="P484" s="1">
        <f t="shared" si="49"/>
        <v>0.18817668118880274</v>
      </c>
      <c r="Q484" s="3">
        <f t="shared" si="50"/>
        <v>1.8817668118880273E-3</v>
      </c>
      <c r="T484">
        <f t="shared" si="51"/>
        <v>0.65833876341873254</v>
      </c>
      <c r="U484" t="s">
        <v>217</v>
      </c>
    </row>
    <row r="485" spans="1:21" x14ac:dyDescent="0.25">
      <c r="A485" t="s">
        <v>504</v>
      </c>
      <c r="B485">
        <v>2208276.95738653</v>
      </c>
      <c r="C485">
        <v>13106.7628030631</v>
      </c>
      <c r="D485">
        <v>258488.68498296899</v>
      </c>
      <c r="E485">
        <v>4504934.06750941</v>
      </c>
      <c r="F485">
        <v>6984806.4726819796</v>
      </c>
      <c r="G485" s="1">
        <f t="shared" si="47"/>
        <v>0.29009836996441274</v>
      </c>
      <c r="H485" s="3">
        <f t="shared" si="48"/>
        <v>2.9009836996441271E-3</v>
      </c>
      <c r="I485" s="1"/>
      <c r="J485" s="1"/>
      <c r="K485">
        <v>2390967.49603853</v>
      </c>
      <c r="L485">
        <v>10195.0936242918</v>
      </c>
      <c r="M485">
        <v>210273.04680484199</v>
      </c>
      <c r="N485">
        <v>19398907.836807199</v>
      </c>
      <c r="O485">
        <v>22010343.473274902</v>
      </c>
      <c r="P485" s="1">
        <f t="shared" si="49"/>
        <v>5.2527381924009152E-2</v>
      </c>
      <c r="Q485" s="3">
        <f t="shared" si="50"/>
        <v>5.2527381924009149E-4</v>
      </c>
      <c r="T485">
        <f t="shared" si="51"/>
        <v>5.5228027618832245</v>
      </c>
    </row>
    <row r="486" spans="1:21" x14ac:dyDescent="0.25">
      <c r="A486" t="s">
        <v>505</v>
      </c>
      <c r="B486">
        <v>1948394.1169593299</v>
      </c>
      <c r="C486">
        <v>16998.497065941301</v>
      </c>
      <c r="D486">
        <v>186889.93590642701</v>
      </c>
      <c r="E486">
        <v>4318426.0295489402</v>
      </c>
      <c r="F486">
        <v>6470708.5794806397</v>
      </c>
      <c r="G486" s="1">
        <f t="shared" si="47"/>
        <v>0.39208379621392703</v>
      </c>
      <c r="H486" s="3">
        <f t="shared" si="48"/>
        <v>3.9208379621392701E-3</v>
      </c>
      <c r="I486" s="1"/>
      <c r="J486" s="1"/>
      <c r="K486">
        <v>517271.04373672098</v>
      </c>
      <c r="L486">
        <v>10425.761063096599</v>
      </c>
      <c r="M486">
        <v>135675.79889812201</v>
      </c>
      <c r="N486">
        <v>13494610.494661</v>
      </c>
      <c r="O486">
        <v>14157983.098359</v>
      </c>
      <c r="P486" s="1">
        <f t="shared" si="49"/>
        <v>7.7199060155633797E-2</v>
      </c>
      <c r="Q486" s="3">
        <f t="shared" si="50"/>
        <v>7.719906015563379E-4</v>
      </c>
      <c r="T486">
        <f t="shared" si="51"/>
        <v>5.0788674813331101</v>
      </c>
    </row>
    <row r="487" spans="1:21" x14ac:dyDescent="0.25">
      <c r="A487" t="s">
        <v>506</v>
      </c>
      <c r="B487">
        <v>1543342.8708759299</v>
      </c>
      <c r="C487">
        <v>20974.2540070463</v>
      </c>
      <c r="D487">
        <v>278374.40001441003</v>
      </c>
      <c r="E487">
        <v>5504986.7397520104</v>
      </c>
      <c r="F487">
        <v>7347678.2646493996</v>
      </c>
      <c r="G487" s="1">
        <f t="shared" si="47"/>
        <v>0.37955848821108817</v>
      </c>
      <c r="H487" s="3">
        <f t="shared" si="48"/>
        <v>3.795584882110882E-3</v>
      </c>
      <c r="K487">
        <v>1117060.3201018099</v>
      </c>
      <c r="L487">
        <v>28178.649704955202</v>
      </c>
      <c r="M487">
        <v>596765.93236264505</v>
      </c>
      <c r="N487">
        <v>18396756.6355213</v>
      </c>
      <c r="O487">
        <v>20138761.537690699</v>
      </c>
      <c r="P487" s="1">
        <f t="shared" si="49"/>
        <v>0.15293757762910465</v>
      </c>
      <c r="Q487" s="3">
        <f t="shared" si="50"/>
        <v>1.5293757762910466E-3</v>
      </c>
      <c r="T487">
        <f t="shared" si="51"/>
        <v>2.4817869754127493</v>
      </c>
    </row>
    <row r="488" spans="1:21" x14ac:dyDescent="0.25">
      <c r="A488" t="s">
        <v>507</v>
      </c>
      <c r="B488">
        <v>2933125.84208844</v>
      </c>
      <c r="C488">
        <v>14601.875824480299</v>
      </c>
      <c r="D488">
        <v>305665.20510742802</v>
      </c>
      <c r="E488">
        <v>7154011.7751382804</v>
      </c>
      <c r="F488">
        <v>10407404.698158599</v>
      </c>
      <c r="G488" s="1">
        <f t="shared" si="47"/>
        <v>0.20369176713156018</v>
      </c>
      <c r="H488" s="3">
        <f t="shared" si="48"/>
        <v>2.0369176713156017E-3</v>
      </c>
      <c r="K488">
        <v>2192642.74515551</v>
      </c>
      <c r="L488">
        <v>8376.5523405387394</v>
      </c>
      <c r="M488">
        <v>252369.14790129801</v>
      </c>
      <c r="N488">
        <v>23782115.60475</v>
      </c>
      <c r="O488">
        <v>26235504.050147299</v>
      </c>
      <c r="P488" s="1">
        <f t="shared" si="49"/>
        <v>3.5209663949899349E-2</v>
      </c>
      <c r="Q488" s="3">
        <f t="shared" si="50"/>
        <v>3.5209663949899351E-4</v>
      </c>
      <c r="T488">
        <f t="shared" si="51"/>
        <v>5.7851096625459961</v>
      </c>
    </row>
    <row r="489" spans="1:21" x14ac:dyDescent="0.25">
      <c r="A489" t="s">
        <v>508</v>
      </c>
      <c r="B489">
        <v>2968180.9523145901</v>
      </c>
      <c r="C489">
        <v>8816.3526072889999</v>
      </c>
      <c r="D489">
        <v>505895.62580885697</v>
      </c>
      <c r="E489">
        <v>4718260.9566929499</v>
      </c>
      <c r="F489">
        <v>8201153.8874236997</v>
      </c>
      <c r="G489" s="1">
        <f t="shared" si="47"/>
        <v>0.18650747661654185</v>
      </c>
      <c r="H489" s="3">
        <f t="shared" si="48"/>
        <v>1.8650747661654186E-3</v>
      </c>
      <c r="K489">
        <v>1600242.0954272801</v>
      </c>
      <c r="L489">
        <v>13905.9802491381</v>
      </c>
      <c r="M489">
        <v>271575.97154442302</v>
      </c>
      <c r="N489">
        <v>20577928.1806322</v>
      </c>
      <c r="O489">
        <v>22463652.227853</v>
      </c>
      <c r="P489" s="1">
        <f t="shared" si="49"/>
        <v>6.7531527985765991E-2</v>
      </c>
      <c r="Q489" s="3">
        <f t="shared" si="50"/>
        <v>6.7531527985765984E-4</v>
      </c>
      <c r="T489">
        <f t="shared" si="51"/>
        <v>2.7617837501892915</v>
      </c>
    </row>
    <row r="490" spans="1:21" x14ac:dyDescent="0.25">
      <c r="A490" t="s">
        <v>509</v>
      </c>
      <c r="B490">
        <v>2218148.7374988799</v>
      </c>
      <c r="C490">
        <v>95982.512671124699</v>
      </c>
      <c r="D490">
        <v>1382756.99367381</v>
      </c>
      <c r="E490">
        <v>7101839.8514851304</v>
      </c>
      <c r="F490">
        <v>10798728.095328899</v>
      </c>
      <c r="G490" s="1">
        <f t="shared" si="47"/>
        <v>1.333493768186039</v>
      </c>
      <c r="H490" s="3">
        <f t="shared" si="48"/>
        <v>1.3334937681860391E-2</v>
      </c>
      <c r="I490" s="1"/>
      <c r="J490" s="1"/>
      <c r="K490">
        <v>1107905.2131443699</v>
      </c>
      <c r="L490">
        <v>44243.277510160799</v>
      </c>
      <c r="M490">
        <v>1562082.9914100701</v>
      </c>
      <c r="N490">
        <v>26539602.655483499</v>
      </c>
      <c r="O490">
        <v>29253834.1375481</v>
      </c>
      <c r="P490" s="1">
        <f t="shared" si="49"/>
        <v>0.16642918267612181</v>
      </c>
      <c r="Q490" s="3">
        <f t="shared" si="50"/>
        <v>1.6642918267612181E-3</v>
      </c>
      <c r="T490">
        <f t="shared" si="51"/>
        <v>8.0123794802325872</v>
      </c>
    </row>
    <row r="491" spans="1:21" x14ac:dyDescent="0.25">
      <c r="A491" t="s">
        <v>510</v>
      </c>
      <c r="B491">
        <v>5672439.1852243897</v>
      </c>
      <c r="C491">
        <v>516417.25264198199</v>
      </c>
      <c r="D491">
        <v>675170.41374295903</v>
      </c>
      <c r="E491">
        <v>7511729.3997121202</v>
      </c>
      <c r="F491">
        <v>14375756.2513214</v>
      </c>
      <c r="G491" s="1">
        <f t="shared" si="47"/>
        <v>6.4325836958963922</v>
      </c>
      <c r="H491" s="3">
        <f t="shared" si="48"/>
        <v>6.432583695896392E-2</v>
      </c>
      <c r="K491">
        <v>1676599.0168411599</v>
      </c>
      <c r="L491">
        <v>119176.01528715101</v>
      </c>
      <c r="M491">
        <v>244829.991369378</v>
      </c>
      <c r="N491">
        <v>25974921.002562001</v>
      </c>
      <c r="O491">
        <v>28015526.026059698</v>
      </c>
      <c r="P491" s="1">
        <f t="shared" si="49"/>
        <v>0.45671637997525272</v>
      </c>
      <c r="Q491" s="3">
        <f t="shared" si="50"/>
        <v>4.5671637997525272E-3</v>
      </c>
      <c r="T491">
        <f t="shared" si="51"/>
        <v>14.084416451726437</v>
      </c>
    </row>
    <row r="492" spans="1:21" x14ac:dyDescent="0.25">
      <c r="A492" t="s">
        <v>511</v>
      </c>
      <c r="B492">
        <v>2841802.43802433</v>
      </c>
      <c r="C492">
        <v>231992.573735085</v>
      </c>
      <c r="D492">
        <v>538604.38231100503</v>
      </c>
      <c r="E492">
        <v>9018935.2649057806</v>
      </c>
      <c r="F492">
        <v>12631334.658976199</v>
      </c>
      <c r="G492" s="1">
        <f t="shared" si="47"/>
        <v>2.5077762769487677</v>
      </c>
      <c r="H492" s="3">
        <f t="shared" si="48"/>
        <v>2.5077762769487678E-2</v>
      </c>
      <c r="K492">
        <v>1116384.1665893099</v>
      </c>
      <c r="L492">
        <v>38770.905708118698</v>
      </c>
      <c r="M492">
        <v>124426.936377762</v>
      </c>
      <c r="N492">
        <v>9963828.8087441009</v>
      </c>
      <c r="O492">
        <v>11243410.8174193</v>
      </c>
      <c r="P492" s="1">
        <f t="shared" si="49"/>
        <v>0.38760828999385721</v>
      </c>
      <c r="Q492" s="3">
        <f t="shared" si="50"/>
        <v>3.8760828999385723E-3</v>
      </c>
      <c r="T492">
        <f t="shared" si="51"/>
        <v>6.4698726567187475</v>
      </c>
    </row>
    <row r="493" spans="1:21" x14ac:dyDescent="0.25">
      <c r="A493" t="s">
        <v>512</v>
      </c>
      <c r="B493">
        <v>3606.4510456213602</v>
      </c>
      <c r="C493">
        <v>0</v>
      </c>
      <c r="D493">
        <v>0</v>
      </c>
      <c r="E493">
        <v>0</v>
      </c>
      <c r="F493">
        <v>0</v>
      </c>
      <c r="G493" s="1"/>
      <c r="H493" s="3"/>
      <c r="I493" s="12" t="s">
        <v>215</v>
      </c>
      <c r="K493">
        <v>2049418.94989874</v>
      </c>
      <c r="L493">
        <v>8064.4083839273499</v>
      </c>
      <c r="M493">
        <v>321531.69140315801</v>
      </c>
      <c r="N493">
        <v>18353944.830805302</v>
      </c>
      <c r="O493">
        <v>20732959.880491201</v>
      </c>
      <c r="P493" s="1">
        <f t="shared" si="49"/>
        <v>4.3918986636363504E-2</v>
      </c>
      <c r="Q493" s="3">
        <f t="shared" si="50"/>
        <v>4.3918986636363506E-4</v>
      </c>
      <c r="T493">
        <f t="shared" si="51"/>
        <v>0</v>
      </c>
    </row>
    <row r="494" spans="1:21" x14ac:dyDescent="0.25">
      <c r="A494" t="s">
        <v>513</v>
      </c>
      <c r="B494">
        <v>1872035.2413852301</v>
      </c>
      <c r="C494">
        <v>11728.052366357701</v>
      </c>
      <c r="D494">
        <v>711560.55467911798</v>
      </c>
      <c r="E494">
        <v>3221948.03795054</v>
      </c>
      <c r="F494">
        <v>5817271.8863812499</v>
      </c>
      <c r="G494" s="1">
        <f t="shared" si="47"/>
        <v>0.36268482181863676</v>
      </c>
      <c r="H494" s="3">
        <f t="shared" si="48"/>
        <v>3.6268482181863676E-3</v>
      </c>
      <c r="I494" s="1"/>
      <c r="J494" s="1"/>
      <c r="K494">
        <v>3218376.7822325602</v>
      </c>
      <c r="L494">
        <v>13418.9326246664</v>
      </c>
      <c r="M494">
        <v>466280.881346707</v>
      </c>
      <c r="N494">
        <v>27801624.481619701</v>
      </c>
      <c r="O494">
        <v>31499701.077823699</v>
      </c>
      <c r="P494" s="1">
        <f t="shared" si="49"/>
        <v>4.8243435844484171E-2</v>
      </c>
      <c r="Q494" s="3">
        <f t="shared" si="50"/>
        <v>4.8243435844484169E-4</v>
      </c>
      <c r="T494">
        <f t="shared" si="51"/>
        <v>7.5178066294402148</v>
      </c>
    </row>
    <row r="495" spans="1:21" x14ac:dyDescent="0.25">
      <c r="A495" t="s">
        <v>514</v>
      </c>
      <c r="B495">
        <v>1776552.28348079</v>
      </c>
      <c r="C495">
        <v>90545.800359116198</v>
      </c>
      <c r="D495">
        <v>535584.56762820797</v>
      </c>
      <c r="E495">
        <v>9967423.3855651896</v>
      </c>
      <c r="F495">
        <v>12370106.037033301</v>
      </c>
      <c r="G495" s="1">
        <f t="shared" si="47"/>
        <v>0.90023938913862589</v>
      </c>
      <c r="H495" s="3">
        <f t="shared" si="48"/>
        <v>9.0023938913862591E-3</v>
      </c>
      <c r="K495">
        <v>983656.42850220401</v>
      </c>
      <c r="L495">
        <v>19452.126947907</v>
      </c>
      <c r="M495">
        <v>275253.54831875698</v>
      </c>
      <c r="N495">
        <v>18953121.707799099</v>
      </c>
      <c r="O495">
        <v>20231483.811567899</v>
      </c>
      <c r="P495" s="1">
        <f t="shared" si="49"/>
        <v>0.10252761231732156</v>
      </c>
      <c r="Q495" s="3">
        <f t="shared" si="50"/>
        <v>1.0252761231732156E-3</v>
      </c>
      <c r="T495">
        <f t="shared" si="51"/>
        <v>8.7804579546083374</v>
      </c>
    </row>
    <row r="496" spans="1:21" x14ac:dyDescent="0.25">
      <c r="A496" t="s">
        <v>515</v>
      </c>
      <c r="B496">
        <v>1396451.71552529</v>
      </c>
      <c r="C496">
        <v>11322.3352517245</v>
      </c>
      <c r="D496">
        <v>234796.63878841701</v>
      </c>
      <c r="E496">
        <v>3968521.6280233399</v>
      </c>
      <c r="F496">
        <v>5611092.3175887801</v>
      </c>
      <c r="G496" s="1">
        <f t="shared" si="47"/>
        <v>0.2844919387846353</v>
      </c>
      <c r="H496" s="3">
        <f t="shared" si="48"/>
        <v>2.8449193878463531E-3</v>
      </c>
      <c r="K496">
        <v>1902384.33237802</v>
      </c>
      <c r="L496">
        <v>5541.5184441977499</v>
      </c>
      <c r="M496">
        <v>302480.41952289699</v>
      </c>
      <c r="N496">
        <v>13656123.515259501</v>
      </c>
      <c r="O496">
        <v>15866529.7856046</v>
      </c>
      <c r="P496" s="1">
        <f t="shared" si="49"/>
        <v>4.0562540733700275E-2</v>
      </c>
      <c r="Q496" s="3">
        <f t="shared" si="50"/>
        <v>4.0562540733700273E-4</v>
      </c>
      <c r="T496">
        <f t="shared" si="51"/>
        <v>7.0136617095159668</v>
      </c>
    </row>
    <row r="497" spans="1:20" x14ac:dyDescent="0.25">
      <c r="A497" t="s">
        <v>516</v>
      </c>
      <c r="B497">
        <v>2636443.2019325201</v>
      </c>
      <c r="C497">
        <v>10331.0759226994</v>
      </c>
      <c r="D497">
        <v>583655.37932672398</v>
      </c>
      <c r="E497">
        <v>6861094.0629642596</v>
      </c>
      <c r="F497">
        <v>10091523.7201462</v>
      </c>
      <c r="G497" s="1">
        <f t="shared" si="47"/>
        <v>0.15034837335611051</v>
      </c>
      <c r="H497" s="3">
        <f t="shared" si="48"/>
        <v>1.503483733561105E-3</v>
      </c>
      <c r="K497">
        <v>2059208.75938738</v>
      </c>
      <c r="L497">
        <v>6396.6426583110397</v>
      </c>
      <c r="M497">
        <v>395975.98879026301</v>
      </c>
      <c r="N497">
        <v>17394869.217914902</v>
      </c>
      <c r="O497">
        <v>19856450.608750898</v>
      </c>
      <c r="P497" s="1">
        <f t="shared" si="49"/>
        <v>3.6759639842088639E-2</v>
      </c>
      <c r="Q497" s="3">
        <f t="shared" si="50"/>
        <v>3.6759639842088638E-4</v>
      </c>
      <c r="T497">
        <f t="shared" si="51"/>
        <v>4.0900393475554759</v>
      </c>
    </row>
    <row r="498" spans="1:20" x14ac:dyDescent="0.25">
      <c r="A498" t="s">
        <v>517</v>
      </c>
      <c r="B498">
        <v>4008191.7550572702</v>
      </c>
      <c r="C498">
        <v>22520.538036280901</v>
      </c>
      <c r="D498">
        <v>789839.24107244494</v>
      </c>
      <c r="E498">
        <v>2639759.3208526899</v>
      </c>
      <c r="F498">
        <v>7460310.8550186902</v>
      </c>
      <c r="G498" s="1">
        <f t="shared" si="47"/>
        <v>0.84591174594541796</v>
      </c>
      <c r="H498" s="3">
        <f t="shared" si="48"/>
        <v>8.4591174594541799E-3</v>
      </c>
      <c r="K498">
        <v>3374644.3191366098</v>
      </c>
      <c r="L498">
        <v>100190.885561409</v>
      </c>
      <c r="M498">
        <v>510895.53262306098</v>
      </c>
      <c r="N498">
        <v>21732826.949611899</v>
      </c>
      <c r="O498">
        <v>25718557.686933</v>
      </c>
      <c r="P498" s="1">
        <f t="shared" si="49"/>
        <v>0.4588961833759877</v>
      </c>
      <c r="Q498" s="3">
        <f t="shared" si="50"/>
        <v>4.588961833759877E-3</v>
      </c>
      <c r="T498">
        <f t="shared" si="51"/>
        <v>1.8433619118865858</v>
      </c>
    </row>
    <row r="499" spans="1:20" x14ac:dyDescent="0.25">
      <c r="A499" t="s">
        <v>518</v>
      </c>
      <c r="B499">
        <v>4668324.8830560502</v>
      </c>
      <c r="C499">
        <v>16632.959108988402</v>
      </c>
      <c r="D499">
        <v>1188334.0076486</v>
      </c>
      <c r="E499">
        <v>4846799.09732359</v>
      </c>
      <c r="F499">
        <v>10720090.947137199</v>
      </c>
      <c r="G499" s="1">
        <f t="shared" si="47"/>
        <v>0.34200044158093978</v>
      </c>
      <c r="H499" s="3">
        <f t="shared" si="48"/>
        <v>3.4200044158093981E-3</v>
      </c>
      <c r="K499">
        <v>2329439.0601291098</v>
      </c>
      <c r="L499">
        <v>9683.6303232933406</v>
      </c>
      <c r="M499">
        <v>399776.506550472</v>
      </c>
      <c r="N499">
        <v>16537055.6993942</v>
      </c>
      <c r="O499">
        <v>19275954.896397099</v>
      </c>
      <c r="P499" s="1">
        <f t="shared" si="49"/>
        <v>5.8522891612257433E-2</v>
      </c>
      <c r="Q499" s="3">
        <f t="shared" si="50"/>
        <v>5.8522891612257431E-4</v>
      </c>
      <c r="T499">
        <f t="shared" si="51"/>
        <v>5.8438746302362974</v>
      </c>
    </row>
    <row r="500" spans="1:20" x14ac:dyDescent="0.25">
      <c r="A500" t="s">
        <v>519</v>
      </c>
      <c r="B500">
        <v>1160143.8804224799</v>
      </c>
      <c r="C500">
        <v>3352.56411702579</v>
      </c>
      <c r="D500">
        <v>175846.84672657799</v>
      </c>
      <c r="E500">
        <v>2883695.87828829</v>
      </c>
      <c r="F500">
        <v>4223039.1695543798</v>
      </c>
      <c r="G500" s="1">
        <f t="shared" si="47"/>
        <v>0.11612427653734257</v>
      </c>
      <c r="H500" s="3">
        <f t="shared" si="48"/>
        <v>1.1612427653734257E-3</v>
      </c>
      <c r="K500">
        <v>2441453.8009439898</v>
      </c>
      <c r="L500">
        <v>5820.8287133288304</v>
      </c>
      <c r="M500">
        <v>425610.44405071199</v>
      </c>
      <c r="N500">
        <v>21297917.8803326</v>
      </c>
      <c r="O500">
        <v>24170802.954040699</v>
      </c>
      <c r="P500" s="1">
        <f t="shared" si="49"/>
        <v>2.732303842450531E-2</v>
      </c>
      <c r="Q500" s="3">
        <f t="shared" si="50"/>
        <v>2.732303842450531E-4</v>
      </c>
      <c r="T500">
        <f t="shared" si="51"/>
        <v>4.2500498931770991</v>
      </c>
    </row>
    <row r="501" spans="1:20" x14ac:dyDescent="0.25">
      <c r="A501" t="s">
        <v>520</v>
      </c>
      <c r="B501">
        <v>3234235.76717583</v>
      </c>
      <c r="C501">
        <v>12697.2966268288</v>
      </c>
      <c r="D501">
        <v>354228.21682062099</v>
      </c>
      <c r="E501">
        <v>8877629.6056124009</v>
      </c>
      <c r="F501">
        <v>12478790.8862356</v>
      </c>
      <c r="G501" s="1">
        <f t="shared" si="47"/>
        <v>0.14282148189208543</v>
      </c>
      <c r="H501" s="3">
        <f t="shared" si="48"/>
        <v>1.4282148189208542E-3</v>
      </c>
      <c r="I501" s="1"/>
      <c r="J501" s="1"/>
      <c r="K501">
        <v>792519.99559089204</v>
      </c>
      <c r="L501">
        <v>1366.5415388101401</v>
      </c>
      <c r="M501">
        <v>72322.237048193201</v>
      </c>
      <c r="N501">
        <v>6692939.0401648302</v>
      </c>
      <c r="O501">
        <v>7559147.8143427204</v>
      </c>
      <c r="P501" s="1">
        <f t="shared" si="49"/>
        <v>2.0413492066228139E-2</v>
      </c>
      <c r="Q501" s="3">
        <f t="shared" si="50"/>
        <v>2.0413492066228138E-4</v>
      </c>
      <c r="T501">
        <f t="shared" si="51"/>
        <v>6.9964257672682937</v>
      </c>
    </row>
    <row r="502" spans="1:20" x14ac:dyDescent="0.25">
      <c r="A502" t="s">
        <v>521</v>
      </c>
      <c r="B502">
        <v>2040554.7021049301</v>
      </c>
      <c r="C502">
        <v>30713.610456603699</v>
      </c>
      <c r="D502">
        <v>481305.41583042801</v>
      </c>
      <c r="E502">
        <v>6173645.8443365302</v>
      </c>
      <c r="F502">
        <v>8726219.5727284905</v>
      </c>
      <c r="G502" s="1">
        <f t="shared" si="47"/>
        <v>0.4950327375515956</v>
      </c>
      <c r="H502" s="3">
        <f t="shared" si="48"/>
        <v>4.950327375515956E-3</v>
      </c>
      <c r="I502" s="1"/>
      <c r="J502" s="1"/>
      <c r="K502">
        <v>1706714.70146303</v>
      </c>
      <c r="L502">
        <v>41095.624637841298</v>
      </c>
      <c r="M502">
        <v>108149.321470961</v>
      </c>
      <c r="N502">
        <v>16060339.437212599</v>
      </c>
      <c r="O502">
        <v>17916299.0847844</v>
      </c>
      <c r="P502" s="1">
        <f t="shared" si="49"/>
        <v>0.25522957723942419</v>
      </c>
      <c r="Q502" s="3">
        <f t="shared" si="50"/>
        <v>2.5522957723942419E-3</v>
      </c>
      <c r="T502">
        <f t="shared" si="51"/>
        <v>1.9395586628552002</v>
      </c>
    </row>
    <row r="503" spans="1:20" x14ac:dyDescent="0.25">
      <c r="B503" s="1"/>
      <c r="C503" s="1"/>
      <c r="D503" s="1"/>
      <c r="E503" s="1"/>
      <c r="F503" s="1"/>
      <c r="G503" s="1"/>
      <c r="H503" s="3"/>
      <c r="K503" s="1"/>
      <c r="L503" s="1"/>
      <c r="M503" s="1"/>
      <c r="N503" s="1"/>
      <c r="O503" s="1"/>
      <c r="P503" s="1"/>
      <c r="Q503" s="3"/>
    </row>
    <row r="504" spans="1:20" x14ac:dyDescent="0.25">
      <c r="B504" s="1"/>
      <c r="C504" s="1"/>
      <c r="D504" s="1"/>
      <c r="E504" s="1"/>
      <c r="F504" s="1"/>
      <c r="G504" s="8"/>
      <c r="H504" s="9"/>
      <c r="K504" s="1"/>
      <c r="L504" s="1"/>
      <c r="M504" s="1"/>
      <c r="N504" s="1"/>
      <c r="O504" s="1"/>
      <c r="P504" s="1"/>
      <c r="Q504" s="3"/>
    </row>
    <row r="505" spans="1:20" x14ac:dyDescent="0.25">
      <c r="B505" s="1"/>
      <c r="C505" s="1"/>
      <c r="D505" s="1"/>
      <c r="E505" s="1"/>
      <c r="F505" s="1"/>
      <c r="G505" s="1"/>
      <c r="H505" s="3"/>
      <c r="I505" s="1"/>
      <c r="J505" s="1"/>
      <c r="K505" s="1"/>
      <c r="L505" s="1"/>
      <c r="M505" s="1"/>
      <c r="N505" s="1"/>
      <c r="O505" s="1"/>
      <c r="P505" s="1"/>
      <c r="Q505" s="3"/>
    </row>
    <row r="506" spans="1:20" x14ac:dyDescent="0.25">
      <c r="B506" s="1"/>
      <c r="C506" s="1"/>
      <c r="D506" s="1"/>
      <c r="E506" s="1"/>
      <c r="F506" s="1"/>
      <c r="G506" s="1"/>
      <c r="H506" s="3"/>
      <c r="K506" s="1"/>
      <c r="L506" s="1"/>
      <c r="M506" s="1"/>
      <c r="N506" s="1"/>
      <c r="O506" s="1"/>
      <c r="P506" s="1"/>
      <c r="Q506" s="3"/>
    </row>
    <row r="507" spans="1:20" x14ac:dyDescent="0.25">
      <c r="B507" s="1"/>
      <c r="C507" s="1"/>
      <c r="D507" s="1"/>
      <c r="E507" s="1"/>
      <c r="F507" s="1"/>
      <c r="G507" s="1"/>
      <c r="H507" s="3"/>
      <c r="K507" s="1"/>
      <c r="L507" s="1"/>
      <c r="M507" s="1"/>
      <c r="N507" s="1"/>
      <c r="O507" s="1"/>
      <c r="P507" s="1"/>
      <c r="Q507" s="3"/>
    </row>
    <row r="508" spans="1:20" x14ac:dyDescent="0.25">
      <c r="B508" s="1"/>
      <c r="C508" s="1"/>
      <c r="D508" s="1"/>
      <c r="E508" s="1"/>
      <c r="F508" s="1"/>
      <c r="G508" s="1"/>
      <c r="H508" s="3"/>
      <c r="K508" s="1"/>
      <c r="L508" s="1"/>
      <c r="M508" s="1"/>
      <c r="N508" s="1"/>
      <c r="O508" s="1"/>
      <c r="P508" s="1"/>
      <c r="Q508" s="3"/>
    </row>
    <row r="509" spans="1:20" x14ac:dyDescent="0.25">
      <c r="B509" s="1"/>
      <c r="C509" s="1"/>
      <c r="D509" s="1"/>
      <c r="E509" s="1"/>
      <c r="F509" s="1"/>
      <c r="G509" s="1"/>
      <c r="H509" s="3"/>
      <c r="I509" s="1"/>
      <c r="J509" s="1"/>
      <c r="K509" s="1"/>
      <c r="L509" s="1"/>
      <c r="M509" s="1"/>
      <c r="N509" s="1"/>
      <c r="O509" s="1"/>
      <c r="P509" s="1"/>
      <c r="Q509" s="3"/>
    </row>
    <row r="510" spans="1:20" x14ac:dyDescent="0.25">
      <c r="B510" s="1"/>
      <c r="C510" s="1"/>
      <c r="D510" s="1"/>
      <c r="E510" s="1"/>
      <c r="F510" s="1"/>
      <c r="G510" s="1"/>
      <c r="H510" s="3"/>
      <c r="K510" s="1"/>
      <c r="L510" s="1"/>
      <c r="M510" s="1"/>
      <c r="N510" s="1"/>
      <c r="O510" s="1"/>
      <c r="P510" s="1"/>
      <c r="Q510" s="3"/>
    </row>
    <row r="511" spans="1:20" x14ac:dyDescent="0.25">
      <c r="B511" s="1"/>
      <c r="C511" s="1"/>
      <c r="D511" s="1"/>
      <c r="E511" s="1"/>
      <c r="F511" s="1"/>
      <c r="G511" s="1"/>
      <c r="H511" s="3"/>
      <c r="K511" s="1"/>
      <c r="L511" s="1"/>
      <c r="M511" s="1"/>
      <c r="N511" s="1"/>
      <c r="O511" s="1"/>
      <c r="P511" s="1"/>
      <c r="Q511" s="3"/>
    </row>
    <row r="512" spans="1:20" x14ac:dyDescent="0.25">
      <c r="B512" s="1"/>
      <c r="C512" s="1"/>
      <c r="D512" s="1"/>
      <c r="E512" s="1"/>
      <c r="F512" s="1"/>
      <c r="G512" s="1"/>
      <c r="H512" s="3"/>
      <c r="K512" s="1"/>
      <c r="L512" s="1"/>
      <c r="M512" s="1"/>
      <c r="N512" s="1"/>
      <c r="O512" s="1"/>
      <c r="P512" s="1"/>
      <c r="Q512" s="3"/>
    </row>
    <row r="513" spans="1:18" x14ac:dyDescent="0.25">
      <c r="B513" s="1"/>
      <c r="C513" s="1"/>
      <c r="D513" s="1"/>
      <c r="E513" s="1"/>
      <c r="F513" s="1"/>
      <c r="G513" s="1"/>
      <c r="H513" s="3"/>
      <c r="I513" s="1"/>
      <c r="J513" s="1"/>
      <c r="K513" s="1"/>
      <c r="L513" s="1"/>
      <c r="M513" s="1"/>
      <c r="N513" s="1"/>
      <c r="O513" s="1"/>
      <c r="P513" s="1"/>
      <c r="Q513" s="3"/>
    </row>
    <row r="514" spans="1:18" x14ac:dyDescent="0.25">
      <c r="B514" s="1"/>
      <c r="C514" s="1"/>
      <c r="D514" s="1"/>
      <c r="E514" s="1"/>
      <c r="F514" s="1"/>
      <c r="G514" s="1"/>
      <c r="H514" s="3"/>
      <c r="K514" s="1"/>
      <c r="L514" s="1"/>
      <c r="M514" s="1"/>
      <c r="N514" s="1"/>
      <c r="O514" s="1"/>
      <c r="P514" s="1"/>
      <c r="Q514" s="3"/>
    </row>
    <row r="515" spans="1:18" x14ac:dyDescent="0.25">
      <c r="B515" s="1"/>
      <c r="C515" s="1"/>
      <c r="D515" s="1"/>
      <c r="E515" s="1"/>
      <c r="F515" s="1"/>
      <c r="G515" s="1"/>
      <c r="H515" s="3"/>
      <c r="K515" s="1"/>
      <c r="L515" s="1"/>
      <c r="M515" s="1"/>
      <c r="N515" s="1"/>
      <c r="O515" s="1"/>
      <c r="P515" s="1"/>
      <c r="Q515" s="3"/>
    </row>
    <row r="516" spans="1:18" x14ac:dyDescent="0.25">
      <c r="B516" s="1"/>
      <c r="C516" s="1"/>
      <c r="D516" s="1"/>
      <c r="E516" s="1"/>
      <c r="F516" s="1"/>
      <c r="G516" s="8"/>
      <c r="H516" s="9"/>
      <c r="K516" s="1"/>
      <c r="L516" s="1"/>
      <c r="M516" s="1"/>
      <c r="N516" s="1"/>
      <c r="O516" s="1"/>
      <c r="P516" s="1"/>
      <c r="Q516" s="3"/>
    </row>
    <row r="517" spans="1:18" x14ac:dyDescent="0.25">
      <c r="B517" s="1"/>
      <c r="C517" s="1"/>
      <c r="D517" s="1"/>
      <c r="E517" s="1"/>
      <c r="F517" s="1"/>
      <c r="G517" s="1"/>
      <c r="H517" s="3"/>
      <c r="K517" s="1"/>
      <c r="L517" s="1"/>
      <c r="M517" s="1"/>
      <c r="N517" s="1"/>
      <c r="O517" s="1"/>
      <c r="P517" s="1"/>
      <c r="Q517" s="3"/>
    </row>
    <row r="518" spans="1:18" x14ac:dyDescent="0.25">
      <c r="B518" s="1"/>
      <c r="C518" s="1"/>
      <c r="D518" s="1"/>
      <c r="E518" s="1"/>
      <c r="F518" s="1"/>
      <c r="G518" s="1"/>
      <c r="H518" s="3"/>
      <c r="K518" s="1"/>
      <c r="L518" s="1"/>
      <c r="M518" s="1"/>
      <c r="N518" s="1"/>
      <c r="O518" s="1"/>
      <c r="P518" s="1"/>
      <c r="Q518" s="3"/>
    </row>
    <row r="519" spans="1:18" x14ac:dyDescent="0.25">
      <c r="B519" s="1"/>
      <c r="C519" s="1"/>
      <c r="D519" s="1"/>
      <c r="E519" s="1"/>
      <c r="F519" s="1"/>
      <c r="G519" s="1"/>
      <c r="H519" s="3"/>
      <c r="K519" s="1"/>
      <c r="L519" s="1"/>
      <c r="M519" s="1"/>
      <c r="N519" s="1"/>
      <c r="O519" s="1"/>
      <c r="P519" s="1"/>
      <c r="Q519" s="3"/>
    </row>
    <row r="520" spans="1:18" x14ac:dyDescent="0.25">
      <c r="B520" s="1"/>
      <c r="C520" s="1"/>
      <c r="D520" s="1"/>
      <c r="E520" s="1"/>
      <c r="F520" s="1"/>
      <c r="G520" s="1"/>
      <c r="H520" s="3"/>
      <c r="K520" s="1"/>
      <c r="L520" s="1"/>
      <c r="M520" s="1"/>
      <c r="N520" s="1"/>
      <c r="O520" s="1"/>
      <c r="P520" s="1"/>
      <c r="Q520" s="3"/>
    </row>
    <row r="521" spans="1:18" x14ac:dyDescent="0.25">
      <c r="K521" s="1"/>
      <c r="L521" s="1"/>
      <c r="M521" s="1"/>
      <c r="N521" s="1"/>
      <c r="O521" s="1"/>
      <c r="P521" s="1"/>
      <c r="Q521" s="3"/>
    </row>
    <row r="522" spans="1:18" x14ac:dyDescent="0.25">
      <c r="B522" s="1"/>
      <c r="C522" s="1"/>
      <c r="D522" s="1"/>
      <c r="E522" s="1"/>
      <c r="F522" s="1"/>
      <c r="G522" s="1"/>
      <c r="H522" s="3"/>
      <c r="K522" s="1"/>
      <c r="L522" s="1"/>
      <c r="M522" s="1"/>
      <c r="N522" s="1"/>
      <c r="O522" s="1"/>
      <c r="P522" s="1"/>
      <c r="Q522" s="3"/>
    </row>
    <row r="523" spans="1:18" x14ac:dyDescent="0.25">
      <c r="B523" s="1"/>
      <c r="C523" s="1"/>
      <c r="D523" s="1"/>
      <c r="E523" s="1"/>
      <c r="F523" s="1"/>
      <c r="G523" s="1"/>
      <c r="H523" s="3"/>
      <c r="K523" s="1"/>
      <c r="L523" s="1"/>
      <c r="M523" s="1"/>
      <c r="N523" s="1"/>
      <c r="O523" s="1"/>
      <c r="P523" s="1"/>
      <c r="Q523" s="3"/>
    </row>
    <row r="524" spans="1:18" x14ac:dyDescent="0.25">
      <c r="B524" s="1"/>
      <c r="C524" s="1"/>
      <c r="D524" s="1"/>
      <c r="E524" s="1"/>
      <c r="F524" s="1"/>
      <c r="G524" s="1"/>
      <c r="H524" s="3"/>
      <c r="I524" s="1"/>
      <c r="J524" s="1"/>
      <c r="K524" s="1"/>
      <c r="L524" s="1"/>
      <c r="M524" s="1"/>
      <c r="N524" s="1"/>
      <c r="O524" s="1"/>
      <c r="P524" s="1"/>
      <c r="Q524" s="3"/>
      <c r="R524" s="1"/>
    </row>
    <row r="525" spans="1:18" x14ac:dyDescent="0.25">
      <c r="B525" s="1"/>
      <c r="C525" s="1"/>
      <c r="D525" s="1"/>
      <c r="E525" s="1"/>
      <c r="F525" s="1"/>
      <c r="G525" s="1"/>
      <c r="H525" s="3"/>
      <c r="K525" s="1"/>
      <c r="L525" s="1"/>
      <c r="M525" s="1"/>
      <c r="N525" s="1"/>
      <c r="O525" s="1"/>
      <c r="P525" s="1"/>
      <c r="Q525" s="3"/>
    </row>
    <row r="526" spans="1:18" x14ac:dyDescent="0.25">
      <c r="A526" s="7"/>
      <c r="B526" s="1"/>
      <c r="C526" s="1"/>
      <c r="D526" s="1"/>
      <c r="E526" s="1"/>
      <c r="F526" s="1"/>
      <c r="G526" s="1"/>
      <c r="H526" s="3"/>
      <c r="K526" s="10"/>
      <c r="L526" s="10"/>
      <c r="M526" s="10"/>
      <c r="N526" s="10"/>
      <c r="O526" s="10"/>
      <c r="P526" s="1"/>
      <c r="Q526" s="3"/>
    </row>
    <row r="527" spans="1:18" x14ac:dyDescent="0.25">
      <c r="B527" s="1"/>
      <c r="C527" s="1"/>
      <c r="D527" s="1"/>
      <c r="E527" s="1"/>
      <c r="F527" s="1"/>
      <c r="G527" s="8"/>
      <c r="H527" s="9"/>
      <c r="K527" s="1"/>
      <c r="L527" s="1"/>
      <c r="M527" s="1"/>
      <c r="N527" s="1"/>
      <c r="O527" s="1"/>
      <c r="P527" s="1"/>
      <c r="Q527" s="3"/>
    </row>
    <row r="528" spans="1:18" x14ac:dyDescent="0.25">
      <c r="B528" s="1"/>
      <c r="C528" s="1"/>
      <c r="D528" s="1"/>
      <c r="E528" s="1"/>
      <c r="F528" s="1"/>
      <c r="G528" s="1"/>
      <c r="H528" s="3"/>
      <c r="K528" s="1"/>
      <c r="L528" s="1"/>
      <c r="M528" s="1"/>
      <c r="N528" s="1"/>
      <c r="O528" s="1"/>
      <c r="P528" s="1"/>
      <c r="Q528" s="3"/>
    </row>
    <row r="529" spans="1:17" x14ac:dyDescent="0.25">
      <c r="B529" s="1"/>
      <c r="C529" s="1"/>
      <c r="D529" s="1"/>
      <c r="E529" s="1"/>
      <c r="F529" s="1"/>
      <c r="G529" s="1"/>
      <c r="H529" s="3"/>
      <c r="I529" s="1"/>
      <c r="J529" s="1"/>
      <c r="K529" s="1"/>
      <c r="L529" s="1"/>
      <c r="M529" s="1"/>
      <c r="N529" s="1"/>
      <c r="O529" s="1"/>
      <c r="P529" s="1"/>
      <c r="Q529" s="3"/>
    </row>
    <row r="530" spans="1:17" x14ac:dyDescent="0.25">
      <c r="B530" s="1"/>
      <c r="C530" s="1"/>
      <c r="D530" s="1"/>
      <c r="E530" s="1"/>
      <c r="F530" s="1"/>
      <c r="G530" s="1"/>
      <c r="H530" s="3"/>
      <c r="K530" s="1"/>
      <c r="L530" s="1"/>
      <c r="M530" s="1"/>
      <c r="N530" s="1"/>
      <c r="O530" s="1"/>
      <c r="P530" s="1"/>
      <c r="Q530" s="3"/>
    </row>
    <row r="531" spans="1:17" x14ac:dyDescent="0.25">
      <c r="B531" s="1"/>
      <c r="C531" s="1"/>
      <c r="D531" s="1"/>
      <c r="E531" s="1"/>
      <c r="F531" s="1"/>
      <c r="G531" s="8"/>
      <c r="H531" s="9"/>
      <c r="K531" s="1"/>
      <c r="L531" s="1"/>
      <c r="M531" s="1"/>
      <c r="N531" s="1"/>
      <c r="O531" s="1"/>
      <c r="P531" s="1"/>
      <c r="Q531" s="3"/>
    </row>
    <row r="532" spans="1:17" x14ac:dyDescent="0.25">
      <c r="A532" s="7"/>
      <c r="B532" s="1"/>
      <c r="C532" s="1"/>
      <c r="D532" s="1"/>
      <c r="E532" s="1"/>
      <c r="F532" s="1"/>
      <c r="G532" s="1"/>
      <c r="H532" s="3"/>
      <c r="K532" s="10"/>
      <c r="L532" s="10"/>
      <c r="M532" s="10"/>
      <c r="N532" s="10"/>
      <c r="O532" s="10"/>
      <c r="P532" s="1"/>
      <c r="Q532" s="3"/>
    </row>
    <row r="533" spans="1:17" x14ac:dyDescent="0.25">
      <c r="B533" s="1"/>
      <c r="C533" s="1"/>
      <c r="D533" s="1"/>
      <c r="E533" s="1"/>
      <c r="F533" s="1"/>
      <c r="G533" s="1"/>
      <c r="H533" s="3"/>
      <c r="K533" s="1"/>
      <c r="L533" s="1"/>
      <c r="M533" s="1"/>
      <c r="N533" s="1"/>
      <c r="O533" s="1"/>
      <c r="P533" s="1"/>
      <c r="Q533" s="3"/>
    </row>
    <row r="534" spans="1:17" x14ac:dyDescent="0.25">
      <c r="B534" s="1"/>
      <c r="C534" s="1"/>
      <c r="D534" s="1"/>
      <c r="E534" s="1"/>
      <c r="F534" s="1"/>
      <c r="G534" s="1"/>
      <c r="H534" s="3"/>
      <c r="K534" s="1"/>
      <c r="L534" s="1"/>
      <c r="M534" s="1"/>
      <c r="N534" s="1"/>
      <c r="O534" s="1"/>
      <c r="P534" s="1"/>
      <c r="Q534" s="3"/>
    </row>
    <row r="535" spans="1:17" x14ac:dyDescent="0.25">
      <c r="K535" s="1"/>
      <c r="L535" s="1"/>
      <c r="M535" s="1"/>
      <c r="N535" s="1"/>
      <c r="O535" s="1"/>
      <c r="P535" s="1"/>
      <c r="Q535" s="3"/>
    </row>
    <row r="536" spans="1:17" x14ac:dyDescent="0.25">
      <c r="B536" s="1"/>
      <c r="C536" s="1"/>
      <c r="D536" s="1"/>
      <c r="E536" s="1"/>
      <c r="F536" s="1"/>
      <c r="G536" s="1"/>
      <c r="H536" s="3"/>
      <c r="K536" s="1"/>
      <c r="L536" s="1"/>
      <c r="M536" s="1"/>
      <c r="N536" s="1"/>
      <c r="O536" s="1"/>
      <c r="P536" s="1"/>
      <c r="Q536" s="3"/>
    </row>
    <row r="537" spans="1:17" x14ac:dyDescent="0.25">
      <c r="A537" s="7"/>
      <c r="B537" s="1"/>
      <c r="C537" s="1"/>
      <c r="D537" s="1"/>
      <c r="E537" s="1"/>
      <c r="F537" s="1"/>
      <c r="G537" s="1"/>
      <c r="H537" s="3"/>
      <c r="K537" s="10"/>
      <c r="L537" s="10"/>
      <c r="M537" s="10"/>
      <c r="N537" s="10"/>
      <c r="O537" s="10"/>
      <c r="P537" s="1"/>
      <c r="Q537" s="3"/>
    </row>
    <row r="538" spans="1:17" x14ac:dyDescent="0.25">
      <c r="B538" s="1"/>
      <c r="C538" s="1"/>
      <c r="D538" s="1"/>
      <c r="E538" s="1"/>
      <c r="F538" s="1"/>
      <c r="G538" s="1"/>
      <c r="H538" s="3"/>
      <c r="K538" s="1"/>
      <c r="L538" s="1"/>
      <c r="M538" s="1"/>
      <c r="N538" s="1"/>
      <c r="O538" s="1"/>
      <c r="P538" s="1"/>
      <c r="Q538" s="3"/>
    </row>
    <row r="539" spans="1:17" x14ac:dyDescent="0.25">
      <c r="B539" s="1"/>
      <c r="C539" s="1"/>
      <c r="D539" s="1"/>
      <c r="E539" s="1"/>
      <c r="F539" s="1"/>
      <c r="G539" s="1"/>
      <c r="H539" s="3"/>
      <c r="K539" s="1"/>
      <c r="L539" s="1"/>
      <c r="M539" s="1"/>
      <c r="N539" s="1"/>
      <c r="O539" s="1"/>
      <c r="P539" s="1"/>
      <c r="Q539" s="3"/>
    </row>
    <row r="540" spans="1:17" x14ac:dyDescent="0.25">
      <c r="B540" s="1"/>
      <c r="C540" s="1"/>
      <c r="D540" s="1"/>
      <c r="E540" s="1"/>
      <c r="F540" s="1"/>
      <c r="G540" s="1"/>
      <c r="H540" s="3"/>
      <c r="K540" s="1"/>
      <c r="L540" s="1"/>
      <c r="M540" s="1"/>
      <c r="N540" s="1"/>
      <c r="O540" s="1"/>
      <c r="P540" s="1"/>
      <c r="Q540" s="3"/>
    </row>
    <row r="541" spans="1:17" x14ac:dyDescent="0.25">
      <c r="B541" s="1"/>
      <c r="C541" s="1"/>
      <c r="D541" s="1"/>
      <c r="E541" s="1"/>
      <c r="F541" s="1"/>
      <c r="G541" s="1"/>
      <c r="H541" s="3"/>
      <c r="K541" s="1"/>
      <c r="L541" s="1"/>
      <c r="M541" s="1"/>
      <c r="N541" s="1"/>
      <c r="O541" s="1"/>
      <c r="P541" s="1"/>
      <c r="Q541" s="3"/>
    </row>
    <row r="542" spans="1:17" x14ac:dyDescent="0.25">
      <c r="B542" s="1"/>
      <c r="C542" s="1"/>
      <c r="D542" s="1"/>
      <c r="E542" s="1"/>
      <c r="F542" s="1"/>
      <c r="G542" s="1"/>
      <c r="H542" s="3"/>
      <c r="K542" s="1"/>
      <c r="L542" s="1"/>
      <c r="M542" s="1"/>
      <c r="N542" s="1"/>
      <c r="O542" s="1"/>
      <c r="P542" s="1"/>
      <c r="Q542" s="3"/>
    </row>
    <row r="543" spans="1:17" x14ac:dyDescent="0.25">
      <c r="B543" s="1"/>
      <c r="C543" s="1"/>
      <c r="D543" s="1"/>
      <c r="E543" s="1"/>
      <c r="F543" s="1"/>
      <c r="G543" s="1"/>
      <c r="H543" s="3"/>
      <c r="K543" s="1"/>
      <c r="L543" s="1"/>
      <c r="M543" s="1"/>
      <c r="N543" s="1"/>
      <c r="O543" s="1"/>
      <c r="P543" s="1"/>
      <c r="Q543" s="3"/>
    </row>
    <row r="544" spans="1:17" x14ac:dyDescent="0.25">
      <c r="B544" s="1"/>
      <c r="C544" s="1"/>
      <c r="D544" s="1"/>
      <c r="E544" s="1"/>
      <c r="F544" s="1"/>
      <c r="G544" s="1"/>
      <c r="H544" s="3"/>
      <c r="K544" s="1"/>
      <c r="L544" s="1"/>
      <c r="M544" s="1"/>
      <c r="N544" s="1"/>
      <c r="O544" s="1"/>
      <c r="P544" s="1"/>
      <c r="Q544" s="3"/>
    </row>
    <row r="545" spans="1:17" x14ac:dyDescent="0.25">
      <c r="A545" s="7"/>
      <c r="B545" s="1"/>
      <c r="C545" s="1"/>
      <c r="D545" s="1"/>
      <c r="E545" s="1"/>
      <c r="F545" s="1"/>
      <c r="G545" s="1"/>
      <c r="H545" s="3"/>
      <c r="K545" s="10"/>
      <c r="L545" s="10"/>
      <c r="M545" s="10"/>
      <c r="N545" s="10"/>
      <c r="O545" s="10"/>
      <c r="P545" s="1"/>
      <c r="Q545" s="3"/>
    </row>
    <row r="546" spans="1:17" x14ac:dyDescent="0.25">
      <c r="A546" s="7"/>
      <c r="B546" s="1"/>
      <c r="C546" s="1"/>
      <c r="D546" s="1"/>
      <c r="E546" s="1"/>
      <c r="F546" s="1"/>
      <c r="G546" s="1"/>
      <c r="H546" s="3"/>
      <c r="K546" s="10"/>
      <c r="L546" s="10"/>
      <c r="M546" s="10"/>
      <c r="N546" s="10"/>
      <c r="O546" s="10"/>
      <c r="P546" s="1"/>
      <c r="Q546" s="3"/>
    </row>
    <row r="547" spans="1:17" x14ac:dyDescent="0.25">
      <c r="B547" s="1"/>
      <c r="C547" s="1"/>
      <c r="D547" s="1"/>
      <c r="E547" s="1"/>
      <c r="F547" s="1"/>
      <c r="G547" s="1"/>
      <c r="H547" s="3"/>
      <c r="K547" s="1"/>
      <c r="L547" s="1"/>
      <c r="M547" s="1"/>
      <c r="N547" s="1"/>
      <c r="O547" s="1"/>
      <c r="P547" s="1"/>
      <c r="Q547" s="3"/>
    </row>
    <row r="548" spans="1:17" x14ac:dyDescent="0.25">
      <c r="B548" s="1"/>
      <c r="C548" s="1"/>
      <c r="D548" s="1"/>
      <c r="E548" s="1"/>
      <c r="F548" s="1"/>
      <c r="G548" s="8"/>
      <c r="H548" s="9"/>
      <c r="K548" s="1"/>
      <c r="L548" s="1"/>
      <c r="M548" s="1"/>
      <c r="N548" s="1"/>
      <c r="O548" s="1"/>
      <c r="P548" s="1"/>
      <c r="Q548" s="3"/>
    </row>
    <row r="549" spans="1:17" x14ac:dyDescent="0.25">
      <c r="B549" s="1"/>
      <c r="C549" s="1"/>
      <c r="D549" s="1"/>
      <c r="E549" s="1"/>
      <c r="F549" s="1"/>
      <c r="G549" s="1"/>
      <c r="H549" s="3"/>
      <c r="K549" s="1"/>
      <c r="L549" s="1"/>
      <c r="M549" s="1"/>
      <c r="N549" s="1"/>
      <c r="O549" s="1"/>
      <c r="P549" s="1"/>
      <c r="Q549" s="3"/>
    </row>
    <row r="550" spans="1:17" x14ac:dyDescent="0.25">
      <c r="B550" s="1"/>
      <c r="C550" s="1"/>
      <c r="D550" s="1"/>
      <c r="E550" s="1"/>
      <c r="F550" s="1"/>
      <c r="G550" s="1"/>
      <c r="H550" s="3"/>
      <c r="K550" s="1"/>
      <c r="L550" s="1"/>
      <c r="M550" s="1"/>
      <c r="N550" s="1"/>
      <c r="O550" s="1"/>
      <c r="P550" s="1"/>
      <c r="Q550" s="3"/>
    </row>
    <row r="551" spans="1:17" x14ac:dyDescent="0.25">
      <c r="B551" s="1"/>
      <c r="C551" s="1"/>
      <c r="D551" s="1"/>
      <c r="E551" s="1"/>
      <c r="F551" s="1"/>
      <c r="G551" s="1"/>
      <c r="H551" s="3"/>
      <c r="K551" s="1"/>
      <c r="L551" s="1"/>
      <c r="M551" s="1"/>
      <c r="N551" s="1"/>
      <c r="O551" s="1"/>
      <c r="P551" s="1"/>
      <c r="Q551" s="3"/>
    </row>
    <row r="552" spans="1:17" x14ac:dyDescent="0.25">
      <c r="B552" s="1"/>
      <c r="C552" s="1"/>
      <c r="D552" s="1"/>
      <c r="E552" s="1"/>
      <c r="F552" s="1"/>
      <c r="G552" s="1"/>
      <c r="H552" s="3"/>
      <c r="K552" s="1"/>
      <c r="L552" s="1"/>
      <c r="M552" s="1"/>
      <c r="N552" s="1"/>
      <c r="O552" s="1"/>
      <c r="P552" s="1"/>
      <c r="Q552" s="3"/>
    </row>
    <row r="553" spans="1:17" x14ac:dyDescent="0.25">
      <c r="B553" s="1"/>
      <c r="C553" s="1"/>
      <c r="D553" s="1"/>
      <c r="E553" s="1"/>
      <c r="F553" s="1"/>
      <c r="G553" s="1"/>
      <c r="H553" s="3"/>
      <c r="I553" s="1"/>
      <c r="J553" s="1"/>
      <c r="K553" s="1"/>
      <c r="L553" s="1"/>
      <c r="M553" s="1"/>
      <c r="N553" s="1"/>
      <c r="O553" s="1"/>
      <c r="P553" s="1"/>
      <c r="Q553" s="3"/>
    </row>
    <row r="554" spans="1:17" x14ac:dyDescent="0.25">
      <c r="B554" s="1"/>
      <c r="C554" s="1"/>
      <c r="D554" s="1"/>
      <c r="E554" s="1"/>
      <c r="F554" s="1"/>
      <c r="G554" s="1"/>
      <c r="H554" s="3"/>
      <c r="K554" s="1"/>
      <c r="L554" s="1"/>
      <c r="M554" s="1"/>
      <c r="N554" s="1"/>
      <c r="O554" s="1"/>
      <c r="P554" s="1"/>
      <c r="Q554" s="3"/>
    </row>
    <row r="555" spans="1:17" x14ac:dyDescent="0.25">
      <c r="A555" s="7"/>
      <c r="B555" s="1"/>
      <c r="C555" s="1"/>
      <c r="D555" s="1"/>
      <c r="E555" s="1"/>
      <c r="F555" s="1"/>
      <c r="G555" s="1"/>
      <c r="H555" s="3"/>
      <c r="K555" s="10"/>
      <c r="L555" s="10"/>
      <c r="M555" s="10"/>
      <c r="N555" s="10"/>
      <c r="O555" s="10"/>
      <c r="P555" s="1"/>
      <c r="Q555" s="3"/>
    </row>
    <row r="556" spans="1:17" x14ac:dyDescent="0.25">
      <c r="B556" s="1"/>
      <c r="C556" s="1"/>
      <c r="D556" s="1"/>
      <c r="E556" s="1"/>
      <c r="F556" s="1"/>
      <c r="G556" s="1"/>
      <c r="H556" s="3"/>
      <c r="K556" s="1"/>
      <c r="L556" s="1"/>
      <c r="M556" s="1"/>
      <c r="N556" s="1"/>
      <c r="O556" s="1"/>
      <c r="P556" s="1"/>
      <c r="Q556" s="3"/>
    </row>
    <row r="557" spans="1:17" x14ac:dyDescent="0.25">
      <c r="B557" s="1"/>
      <c r="C557" s="1"/>
      <c r="D557" s="1"/>
      <c r="E557" s="1"/>
      <c r="F557" s="1"/>
      <c r="G557" s="1"/>
      <c r="H557" s="3"/>
      <c r="K557" s="1"/>
      <c r="L557" s="1"/>
      <c r="M557" s="1"/>
      <c r="N557" s="1"/>
      <c r="O557" s="1"/>
      <c r="P557" s="1"/>
      <c r="Q557" s="3"/>
    </row>
    <row r="558" spans="1:17" x14ac:dyDescent="0.25">
      <c r="B558" s="1"/>
      <c r="C558" s="1"/>
      <c r="D558" s="1"/>
      <c r="E558" s="1"/>
      <c r="F558" s="1"/>
      <c r="G558" s="1"/>
      <c r="H558" s="3"/>
      <c r="K558" s="1"/>
      <c r="L558" s="1"/>
      <c r="M558" s="1"/>
      <c r="N558" s="1"/>
      <c r="O558" s="1"/>
      <c r="P558" s="1"/>
      <c r="Q558" s="3"/>
    </row>
    <row r="559" spans="1:17" x14ac:dyDescent="0.25">
      <c r="B559" s="1"/>
      <c r="C559" s="1"/>
      <c r="D559" s="1"/>
      <c r="E559" s="1"/>
      <c r="F559" s="1"/>
      <c r="G559" s="1"/>
      <c r="H559" s="3"/>
      <c r="I559" s="1"/>
      <c r="J559" s="1"/>
      <c r="K559" s="1"/>
      <c r="L559" s="1"/>
      <c r="M559" s="1"/>
      <c r="N559" s="1"/>
      <c r="O559" s="1"/>
      <c r="P559" s="1"/>
      <c r="Q559" s="3"/>
    </row>
    <row r="560" spans="1:17" x14ac:dyDescent="0.25">
      <c r="A560" s="7"/>
      <c r="B560" s="1"/>
      <c r="C560" s="1"/>
      <c r="D560" s="1"/>
      <c r="E560" s="1"/>
      <c r="F560" s="1"/>
      <c r="G560" s="1"/>
      <c r="H560" s="3"/>
      <c r="K560" s="10"/>
      <c r="L560" s="10"/>
      <c r="M560" s="10"/>
      <c r="N560" s="10"/>
      <c r="O560" s="10"/>
      <c r="P560" s="1"/>
      <c r="Q560" s="3"/>
    </row>
    <row r="561" spans="2:18" x14ac:dyDescent="0.25">
      <c r="B561" s="1"/>
      <c r="C561" s="1"/>
      <c r="D561" s="1"/>
      <c r="E561" s="1"/>
      <c r="F561" s="1"/>
      <c r="G561" s="1"/>
      <c r="H561" s="3"/>
      <c r="I561" s="1"/>
      <c r="J561" s="1"/>
      <c r="K561" s="1"/>
      <c r="L561" s="1"/>
      <c r="M561" s="1"/>
      <c r="N561" s="1"/>
      <c r="O561" s="1"/>
      <c r="P561" s="1"/>
      <c r="Q561" s="3"/>
    </row>
    <row r="562" spans="2:18" x14ac:dyDescent="0.25">
      <c r="B562" s="1"/>
      <c r="C562" s="1"/>
      <c r="D562" s="1"/>
      <c r="E562" s="1"/>
      <c r="F562" s="1"/>
      <c r="G562" s="1"/>
      <c r="H562" s="3"/>
      <c r="I562" s="1"/>
      <c r="J562" s="1"/>
      <c r="K562" s="1"/>
      <c r="L562" s="1"/>
      <c r="M562" s="1"/>
      <c r="N562" s="1"/>
      <c r="O562" s="1"/>
      <c r="P562" s="1"/>
      <c r="Q562" s="3"/>
    </row>
    <row r="563" spans="2:18" x14ac:dyDescent="0.25">
      <c r="B563" s="1"/>
      <c r="C563" s="1"/>
      <c r="D563" s="1"/>
      <c r="E563" s="1"/>
      <c r="F563" s="1"/>
      <c r="G563" s="1"/>
      <c r="H563" s="3"/>
      <c r="K563" s="1"/>
      <c r="L563" s="1"/>
      <c r="M563" s="1"/>
      <c r="N563" s="1"/>
      <c r="O563" s="1"/>
      <c r="P563" s="1"/>
      <c r="Q563" s="3"/>
    </row>
    <row r="564" spans="2:18" x14ac:dyDescent="0.25">
      <c r="B564" s="1"/>
      <c r="C564" s="1"/>
      <c r="D564" s="1"/>
      <c r="E564" s="1"/>
      <c r="F564" s="1"/>
      <c r="G564" s="1"/>
      <c r="H564" s="3"/>
      <c r="K564" s="1"/>
      <c r="L564" s="1"/>
      <c r="M564" s="1"/>
      <c r="N564" s="1"/>
      <c r="O564" s="1"/>
      <c r="P564" s="1"/>
      <c r="Q564" s="3"/>
    </row>
    <row r="565" spans="2:18" x14ac:dyDescent="0.25">
      <c r="B565" s="1"/>
      <c r="C565" s="1"/>
      <c r="D565" s="1"/>
      <c r="E565" s="1"/>
      <c r="F565" s="1"/>
      <c r="G565" s="1"/>
      <c r="H565" s="3"/>
      <c r="K565" s="1"/>
      <c r="L565" s="1"/>
      <c r="M565" s="1"/>
      <c r="N565" s="1"/>
      <c r="O565" s="1"/>
      <c r="P565" s="1"/>
      <c r="Q565" s="3"/>
    </row>
    <row r="566" spans="2:18" x14ac:dyDescent="0.25">
      <c r="B566" s="1"/>
      <c r="C566" s="1"/>
      <c r="D566" s="1"/>
      <c r="E566" s="1"/>
      <c r="F566" s="1"/>
      <c r="G566" s="1"/>
      <c r="H566" s="3"/>
      <c r="K566" s="1"/>
      <c r="L566" s="1"/>
      <c r="M566" s="1"/>
      <c r="N566" s="1"/>
      <c r="O566" s="1"/>
      <c r="P566" s="1"/>
      <c r="Q566" s="3"/>
    </row>
    <row r="567" spans="2:18" x14ac:dyDescent="0.25">
      <c r="B567" s="1"/>
      <c r="C567" s="1"/>
      <c r="D567" s="1"/>
      <c r="E567" s="1"/>
      <c r="F567" s="1"/>
      <c r="G567" s="1"/>
      <c r="H567" s="3"/>
      <c r="K567" s="1"/>
      <c r="L567" s="1"/>
      <c r="M567" s="1"/>
      <c r="N567" s="1"/>
      <c r="O567" s="1"/>
      <c r="P567" s="1"/>
      <c r="Q567" s="3"/>
    </row>
    <row r="568" spans="2:18" x14ac:dyDescent="0.25">
      <c r="B568" s="1"/>
      <c r="C568" s="1"/>
      <c r="D568" s="1"/>
      <c r="E568" s="1"/>
      <c r="F568" s="1"/>
      <c r="G568" s="1"/>
      <c r="H568" s="3"/>
      <c r="I568" s="1"/>
      <c r="J568" s="1"/>
      <c r="K568" s="1"/>
      <c r="L568" s="1"/>
      <c r="M568" s="1"/>
      <c r="N568" s="1"/>
      <c r="O568" s="1"/>
      <c r="P568" s="1"/>
      <c r="Q568" s="3"/>
    </row>
    <row r="569" spans="2:18" x14ac:dyDescent="0.25">
      <c r="B569" s="1"/>
      <c r="C569" s="1"/>
      <c r="D569" s="1"/>
      <c r="E569" s="1"/>
      <c r="F569" s="1"/>
      <c r="G569" s="1"/>
      <c r="H569" s="3"/>
      <c r="I569" s="1"/>
      <c r="J569" s="1"/>
      <c r="K569" s="1"/>
      <c r="L569" s="1"/>
      <c r="M569" s="1"/>
      <c r="N569" s="1"/>
      <c r="O569" s="1"/>
      <c r="P569" s="1"/>
      <c r="Q569" s="3"/>
      <c r="R569" s="1"/>
    </row>
    <row r="570" spans="2:18" x14ac:dyDescent="0.25">
      <c r="K570" s="1"/>
      <c r="L570" s="1"/>
      <c r="M570" s="1"/>
      <c r="N570" s="1"/>
      <c r="O570" s="1"/>
      <c r="P570" s="1"/>
      <c r="Q570" s="3"/>
    </row>
    <row r="571" spans="2:18" x14ac:dyDescent="0.25">
      <c r="B571" s="1"/>
      <c r="C571" s="1"/>
      <c r="D571" s="1"/>
      <c r="E571" s="1"/>
      <c r="F571" s="1"/>
      <c r="G571" s="1"/>
      <c r="H571" s="3"/>
      <c r="K571" s="1"/>
      <c r="L571" s="1"/>
      <c r="M571" s="1"/>
      <c r="N571" s="1"/>
      <c r="O571" s="1"/>
      <c r="P571" s="1"/>
      <c r="Q571" s="3"/>
    </row>
    <row r="572" spans="2:18" x14ac:dyDescent="0.25">
      <c r="B572" s="1"/>
      <c r="C572" s="1"/>
      <c r="D572" s="1"/>
      <c r="E572" s="1"/>
      <c r="F572" s="1"/>
      <c r="G572" s="1"/>
      <c r="H572" s="3"/>
      <c r="K572" s="1"/>
      <c r="L572" s="1"/>
      <c r="M572" s="1"/>
      <c r="N572" s="1"/>
      <c r="O572" s="1"/>
      <c r="P572" s="1"/>
      <c r="Q572" s="3"/>
    </row>
    <row r="573" spans="2:18" x14ac:dyDescent="0.25">
      <c r="B573" s="1"/>
      <c r="C573" s="1"/>
      <c r="D573" s="1"/>
      <c r="E573" s="1"/>
      <c r="F573" s="1"/>
      <c r="G573" s="1"/>
      <c r="H573" s="3"/>
      <c r="K573" s="1"/>
      <c r="L573" s="1"/>
      <c r="M573" s="1"/>
      <c r="N573" s="1"/>
      <c r="O573" s="1"/>
      <c r="P573" s="1"/>
      <c r="Q573" s="3"/>
    </row>
    <row r="574" spans="2:18" x14ac:dyDescent="0.25">
      <c r="B574" s="1"/>
      <c r="C574" s="1"/>
      <c r="D574" s="1"/>
      <c r="E574" s="1"/>
      <c r="F574" s="1"/>
      <c r="G574" s="1"/>
      <c r="H574" s="3"/>
      <c r="K574" s="1"/>
      <c r="L574" s="1"/>
      <c r="M574" s="1"/>
      <c r="N574" s="1"/>
      <c r="O574" s="1"/>
      <c r="P574" s="1"/>
      <c r="Q574" s="3"/>
    </row>
    <row r="575" spans="2:18" x14ac:dyDescent="0.25">
      <c r="B575" s="1"/>
      <c r="C575" s="1"/>
      <c r="D575" s="1"/>
      <c r="E575" s="1"/>
      <c r="F575" s="1"/>
      <c r="G575" s="1"/>
      <c r="H575" s="3"/>
      <c r="K575" s="1"/>
      <c r="L575" s="1"/>
      <c r="M575" s="1"/>
      <c r="N575" s="1"/>
      <c r="O575" s="1"/>
      <c r="P575" s="1"/>
      <c r="Q575" s="3"/>
    </row>
    <row r="576" spans="2:18" x14ac:dyDescent="0.25">
      <c r="B576" s="1"/>
      <c r="C576" s="1"/>
      <c r="D576" s="1"/>
      <c r="E576" s="1"/>
      <c r="F576" s="1"/>
      <c r="G576" s="1"/>
      <c r="H576" s="3"/>
      <c r="K576" s="1"/>
      <c r="L576" s="1"/>
      <c r="M576" s="1"/>
      <c r="N576" s="1"/>
      <c r="O576" s="1"/>
      <c r="P576" s="1"/>
      <c r="Q576" s="3"/>
    </row>
    <row r="577" spans="2:18" x14ac:dyDescent="0.25">
      <c r="B577" s="1"/>
      <c r="C577" s="1"/>
      <c r="D577" s="1"/>
      <c r="E577" s="1"/>
      <c r="F577" s="1"/>
      <c r="G577" s="1"/>
      <c r="H577" s="3"/>
      <c r="I577" s="1"/>
      <c r="J577" s="1"/>
      <c r="K577" s="1"/>
      <c r="L577" s="1"/>
      <c r="M577" s="1"/>
      <c r="N577" s="1"/>
      <c r="O577" s="1"/>
      <c r="P577" s="1"/>
      <c r="Q577" s="3"/>
    </row>
    <row r="578" spans="2:18" x14ac:dyDescent="0.25">
      <c r="B578" s="1"/>
      <c r="C578" s="1"/>
      <c r="D578" s="1"/>
      <c r="E578" s="1"/>
      <c r="F578" s="1"/>
      <c r="G578" s="1"/>
      <c r="H578" s="3"/>
      <c r="I578" s="1"/>
      <c r="J578" s="1"/>
      <c r="K578" s="1"/>
      <c r="L578" s="1"/>
      <c r="M578" s="1"/>
      <c r="N578" s="1"/>
      <c r="O578" s="1"/>
      <c r="P578" s="1"/>
      <c r="Q578" s="3"/>
      <c r="R578" s="1"/>
    </row>
    <row r="579" spans="2:18" x14ac:dyDescent="0.25">
      <c r="B579" s="1"/>
      <c r="C579" s="1"/>
      <c r="D579" s="1"/>
      <c r="E579" s="1"/>
      <c r="F579" s="1"/>
      <c r="G579" s="1"/>
      <c r="H579" s="3"/>
      <c r="K579" s="1"/>
      <c r="L579" s="1"/>
      <c r="M579" s="1"/>
      <c r="N579" s="1"/>
      <c r="O579" s="1"/>
      <c r="P579" s="1"/>
      <c r="Q579" s="3"/>
    </row>
    <row r="580" spans="2:18" x14ac:dyDescent="0.25">
      <c r="B580" s="1"/>
      <c r="C580" s="1"/>
      <c r="D580" s="1"/>
      <c r="E580" s="1"/>
      <c r="F580" s="1"/>
      <c r="G580" s="1"/>
      <c r="H580" s="3"/>
      <c r="I580" s="1"/>
      <c r="J580" s="1"/>
      <c r="K580" s="1"/>
      <c r="L580" s="1"/>
      <c r="M580" s="1"/>
      <c r="N580" s="1"/>
      <c r="O580" s="1"/>
      <c r="P580" s="1"/>
      <c r="Q580" s="3"/>
    </row>
    <row r="581" spans="2:18" x14ac:dyDescent="0.25">
      <c r="B581" s="1"/>
      <c r="C581" s="1"/>
      <c r="D581" s="1"/>
      <c r="E581" s="1"/>
      <c r="F581" s="1"/>
      <c r="G581" s="8"/>
      <c r="H581" s="9"/>
      <c r="K581" s="1"/>
      <c r="L581" s="1"/>
      <c r="M581" s="1"/>
      <c r="N581" s="1"/>
      <c r="O581" s="1"/>
      <c r="P581" s="1"/>
      <c r="Q581" s="3"/>
    </row>
    <row r="582" spans="2:18" x14ac:dyDescent="0.25">
      <c r="B582" s="1"/>
      <c r="C582" s="1"/>
      <c r="D582" s="1"/>
      <c r="E582" s="1"/>
      <c r="F582" s="1"/>
      <c r="G582" s="1"/>
      <c r="H582" s="3"/>
      <c r="K582" s="1"/>
      <c r="L582" s="1"/>
      <c r="M582" s="1"/>
      <c r="N582" s="1"/>
      <c r="O582" s="1"/>
      <c r="P582" s="1"/>
      <c r="Q582" s="3"/>
    </row>
    <row r="583" spans="2:18" x14ac:dyDescent="0.25">
      <c r="B583" s="1"/>
      <c r="C583" s="1"/>
      <c r="D583" s="1"/>
      <c r="E583" s="1"/>
      <c r="F583" s="1"/>
      <c r="G583" s="1"/>
      <c r="H583" s="3"/>
      <c r="I583" s="1"/>
      <c r="J583" s="1"/>
      <c r="K583" s="1"/>
      <c r="L583" s="1"/>
      <c r="M583" s="1"/>
      <c r="N583" s="1"/>
      <c r="O583" s="1"/>
      <c r="P583" s="1"/>
      <c r="Q583" s="3"/>
    </row>
    <row r="584" spans="2:18" x14ac:dyDescent="0.25">
      <c r="B584" s="1"/>
      <c r="C584" s="1"/>
      <c r="D584" s="1"/>
      <c r="E584" s="1"/>
      <c r="F584" s="1"/>
      <c r="G584" s="1"/>
      <c r="H584" s="3"/>
      <c r="K584" s="1"/>
      <c r="L584" s="1"/>
      <c r="M584" s="1"/>
      <c r="N584" s="1"/>
      <c r="O584" s="1"/>
      <c r="P584" s="1"/>
      <c r="Q584" s="3"/>
    </row>
    <row r="585" spans="2:18" x14ac:dyDescent="0.25">
      <c r="B585" s="1"/>
      <c r="C585" s="1"/>
      <c r="D585" s="1"/>
      <c r="E585" s="1"/>
      <c r="F585" s="1"/>
      <c r="G585" s="1"/>
      <c r="H585" s="3"/>
      <c r="I585" s="1"/>
      <c r="J585" s="1"/>
      <c r="K585" s="1"/>
      <c r="L585" s="1"/>
      <c r="M585" s="1"/>
      <c r="N585" s="1"/>
      <c r="O585" s="1"/>
      <c r="P585" s="1"/>
      <c r="Q585" s="3"/>
    </row>
    <row r="586" spans="2:18" x14ac:dyDescent="0.25">
      <c r="B586" s="1"/>
      <c r="C586" s="1"/>
      <c r="D586" s="1"/>
      <c r="E586" s="1"/>
      <c r="F586" s="1"/>
      <c r="G586" s="1"/>
      <c r="H586" s="3"/>
      <c r="I586" s="1"/>
      <c r="J586" s="1"/>
      <c r="K586" s="1"/>
      <c r="L586" s="1"/>
      <c r="M586" s="1"/>
      <c r="N586" s="1"/>
      <c r="O586" s="1"/>
      <c r="P586" s="1"/>
      <c r="Q586" s="3"/>
    </row>
    <row r="587" spans="2:18" x14ac:dyDescent="0.25">
      <c r="B587" s="1"/>
      <c r="C587" s="1"/>
      <c r="D587" s="1"/>
      <c r="E587" s="1"/>
      <c r="F587" s="1"/>
      <c r="G587" s="1"/>
      <c r="H587" s="3"/>
      <c r="I587" s="1"/>
      <c r="J587" s="1"/>
      <c r="K587" s="1"/>
      <c r="L587" s="1"/>
      <c r="M587" s="1"/>
      <c r="N587" s="1"/>
      <c r="O587" s="1"/>
      <c r="P587" s="1"/>
      <c r="Q587" s="3"/>
    </row>
    <row r="588" spans="2:18" x14ac:dyDescent="0.25">
      <c r="K588" s="1"/>
      <c r="L588" s="1"/>
      <c r="M588" s="1"/>
      <c r="N588" s="1"/>
      <c r="O588" s="1"/>
      <c r="P588" s="1"/>
      <c r="Q588" s="3"/>
    </row>
    <row r="589" spans="2:18" x14ac:dyDescent="0.25">
      <c r="B589" s="1"/>
      <c r="C589" s="1"/>
      <c r="D589" s="1"/>
      <c r="E589" s="1"/>
      <c r="F589" s="1"/>
      <c r="G589" s="1"/>
      <c r="H589" s="3"/>
      <c r="I589" s="1"/>
      <c r="J589" s="1"/>
      <c r="K589" s="1"/>
      <c r="L589" s="1"/>
      <c r="M589" s="1"/>
      <c r="N589" s="1"/>
      <c r="O589" s="1"/>
      <c r="P589" s="1"/>
      <c r="Q589" s="3"/>
    </row>
    <row r="590" spans="2:18" x14ac:dyDescent="0.25">
      <c r="B590" s="1"/>
      <c r="C590" s="1"/>
      <c r="D590" s="1"/>
      <c r="E590" s="1"/>
      <c r="F590" s="1"/>
      <c r="G590" s="1"/>
      <c r="H590" s="3"/>
      <c r="K590" s="1"/>
      <c r="L590" s="1"/>
      <c r="M590" s="1"/>
      <c r="N590" s="1"/>
      <c r="O590" s="1"/>
      <c r="P590" s="1"/>
      <c r="Q590" s="3"/>
    </row>
    <row r="591" spans="2:18" x14ac:dyDescent="0.25">
      <c r="B591" s="1"/>
      <c r="C591" s="1"/>
      <c r="D591" s="1"/>
      <c r="E591" s="1"/>
      <c r="F591" s="1"/>
      <c r="G591" s="1"/>
      <c r="H591" s="3"/>
      <c r="K591" s="1"/>
      <c r="L591" s="1"/>
      <c r="M591" s="1"/>
      <c r="N591" s="1"/>
      <c r="O591" s="1"/>
      <c r="P591" s="1"/>
      <c r="Q591" s="3"/>
    </row>
    <row r="592" spans="2:18" x14ac:dyDescent="0.25">
      <c r="B592" s="1"/>
      <c r="C592" s="1"/>
      <c r="D592" s="1"/>
      <c r="E592" s="1"/>
      <c r="F592" s="1"/>
      <c r="G592" s="1"/>
      <c r="H592" s="3"/>
      <c r="K592" s="1"/>
      <c r="L592" s="1"/>
      <c r="M592" s="1"/>
      <c r="N592" s="1"/>
      <c r="O592" s="1"/>
      <c r="P592" s="1"/>
      <c r="Q592" s="3"/>
    </row>
    <row r="593" spans="2:18" x14ac:dyDescent="0.25">
      <c r="B593" s="1"/>
      <c r="C593" s="1"/>
      <c r="D593" s="1"/>
      <c r="E593" s="1"/>
      <c r="F593" s="1"/>
      <c r="G593" s="1"/>
      <c r="H593" s="3"/>
      <c r="K593" s="1"/>
      <c r="L593" s="1"/>
      <c r="M593" s="1"/>
      <c r="N593" s="1"/>
      <c r="O593" s="1"/>
      <c r="P593" s="1"/>
      <c r="Q593" s="3"/>
    </row>
    <row r="594" spans="2:18" x14ac:dyDescent="0.25">
      <c r="B594" s="1"/>
      <c r="C594" s="1"/>
      <c r="D594" s="1"/>
      <c r="E594" s="1"/>
      <c r="F594" s="1"/>
      <c r="G594" s="1"/>
      <c r="H594" s="3"/>
      <c r="K594" s="1"/>
      <c r="L594" s="1"/>
      <c r="M594" s="1"/>
      <c r="N594" s="1"/>
      <c r="O594" s="1"/>
      <c r="P594" s="1"/>
      <c r="Q594" s="3"/>
    </row>
    <row r="595" spans="2:18" x14ac:dyDescent="0.25">
      <c r="B595" s="1"/>
      <c r="C595" s="1"/>
      <c r="D595" s="1"/>
      <c r="E595" s="1"/>
      <c r="F595" s="1"/>
      <c r="G595" s="1"/>
      <c r="H595" s="3"/>
      <c r="I595" s="1"/>
      <c r="J595" s="1"/>
      <c r="K595" s="1"/>
      <c r="L595" s="1"/>
      <c r="M595" s="1"/>
      <c r="N595" s="1"/>
      <c r="O595" s="1"/>
      <c r="P595" s="1"/>
      <c r="Q595" s="3"/>
    </row>
    <row r="596" spans="2:18" x14ac:dyDescent="0.25">
      <c r="B596" s="1"/>
      <c r="C596" s="1"/>
      <c r="D596" s="1"/>
      <c r="E596" s="1"/>
      <c r="F596" s="1"/>
      <c r="G596" s="8"/>
      <c r="H596" s="9"/>
      <c r="K596" s="1"/>
      <c r="L596" s="1"/>
      <c r="M596" s="1"/>
      <c r="N596" s="1"/>
      <c r="O596" s="1"/>
      <c r="P596" s="1"/>
      <c r="Q596" s="3"/>
    </row>
    <row r="597" spans="2:18" x14ac:dyDescent="0.25">
      <c r="B597" s="1"/>
      <c r="C597" s="1"/>
      <c r="D597" s="1"/>
      <c r="E597" s="1"/>
      <c r="F597" s="1"/>
      <c r="G597" s="1"/>
      <c r="H597" s="3"/>
      <c r="K597" s="1"/>
      <c r="L597" s="1"/>
      <c r="M597" s="1"/>
      <c r="N597" s="1"/>
      <c r="O597" s="1"/>
      <c r="P597" s="1"/>
      <c r="Q597" s="3"/>
    </row>
    <row r="598" spans="2:18" x14ac:dyDescent="0.25">
      <c r="B598" s="1"/>
      <c r="C598" s="1"/>
      <c r="D598" s="1"/>
      <c r="E598" s="1"/>
      <c r="F598" s="1"/>
      <c r="G598" s="1"/>
      <c r="H598" s="3"/>
      <c r="K598" s="1"/>
      <c r="L598" s="1"/>
      <c r="M598" s="1"/>
      <c r="N598" s="1"/>
      <c r="O598" s="1"/>
      <c r="P598" s="1"/>
      <c r="Q598" s="3"/>
    </row>
    <row r="599" spans="2:18" x14ac:dyDescent="0.25">
      <c r="B599" s="1"/>
      <c r="C599" s="1"/>
      <c r="D599" s="1"/>
      <c r="E599" s="1"/>
      <c r="F599" s="1"/>
      <c r="G599" s="1"/>
      <c r="H599" s="3"/>
      <c r="I599" s="1"/>
      <c r="J599" s="1"/>
      <c r="K599" s="1"/>
      <c r="L599" s="1"/>
      <c r="M599" s="1"/>
      <c r="N599" s="1"/>
      <c r="O599" s="1"/>
      <c r="P599" s="1"/>
      <c r="Q599" s="3"/>
    </row>
    <row r="600" spans="2:18" x14ac:dyDescent="0.25">
      <c r="K600" s="1"/>
      <c r="L600" s="1"/>
      <c r="M600" s="1"/>
      <c r="N600" s="1"/>
      <c r="O600" s="1"/>
      <c r="P600" s="1"/>
      <c r="Q600" s="3"/>
    </row>
    <row r="601" spans="2:18" x14ac:dyDescent="0.25">
      <c r="B601" s="1"/>
      <c r="C601" s="1"/>
      <c r="D601" s="1"/>
      <c r="E601" s="1"/>
      <c r="F601" s="1"/>
      <c r="G601" s="1"/>
      <c r="H601" s="3"/>
      <c r="K601" s="1"/>
      <c r="L601" s="1"/>
      <c r="M601" s="1"/>
      <c r="N601" s="1"/>
      <c r="O601" s="1"/>
      <c r="P601" s="1"/>
      <c r="Q601" s="3"/>
    </row>
    <row r="602" spans="2:18" x14ac:dyDescent="0.25">
      <c r="B602" s="1"/>
      <c r="C602" s="1"/>
      <c r="D602" s="1"/>
      <c r="E602" s="1"/>
      <c r="F602" s="1"/>
      <c r="G602" s="1"/>
      <c r="H602" s="3"/>
      <c r="K602" s="1"/>
      <c r="L602" s="1"/>
      <c r="M602" s="1"/>
      <c r="N602" s="1"/>
      <c r="O602" s="1"/>
      <c r="P602" s="1"/>
      <c r="Q602" s="3"/>
    </row>
    <row r="603" spans="2:18" x14ac:dyDescent="0.25">
      <c r="B603" s="1"/>
      <c r="C603" s="1"/>
      <c r="D603" s="1"/>
      <c r="E603" s="1"/>
      <c r="F603" s="1"/>
      <c r="G603" s="1"/>
      <c r="H603" s="3"/>
      <c r="I603" s="1"/>
      <c r="J603" s="1"/>
      <c r="K603" s="1"/>
      <c r="L603" s="1"/>
      <c r="M603" s="1"/>
      <c r="N603" s="1"/>
      <c r="O603" s="1"/>
      <c r="P603" s="1"/>
      <c r="Q603" s="3"/>
      <c r="R603" s="1"/>
    </row>
    <row r="604" spans="2:18" x14ac:dyDescent="0.25">
      <c r="B604" s="1"/>
      <c r="C604" s="1"/>
      <c r="D604" s="1"/>
      <c r="E604" s="1"/>
      <c r="F604" s="1"/>
      <c r="G604" s="1"/>
      <c r="H604" s="3"/>
      <c r="K604" s="1"/>
      <c r="L604" s="1"/>
      <c r="M604" s="1"/>
      <c r="N604" s="1"/>
      <c r="O604" s="1"/>
      <c r="P604" s="1"/>
      <c r="Q604" s="3"/>
    </row>
    <row r="605" spans="2:18" x14ac:dyDescent="0.25">
      <c r="K605" s="1"/>
      <c r="L605" s="1"/>
      <c r="M605" s="1"/>
      <c r="N605" s="1"/>
      <c r="O605" s="1"/>
      <c r="P605" s="1"/>
      <c r="Q605" s="3"/>
    </row>
    <row r="606" spans="2:18" x14ac:dyDescent="0.25">
      <c r="B606" s="1"/>
      <c r="C606" s="1"/>
      <c r="D606" s="1"/>
      <c r="E606" s="1"/>
      <c r="F606" s="1"/>
      <c r="G606" s="1"/>
      <c r="H606" s="3"/>
      <c r="K606" s="1"/>
      <c r="L606" s="1"/>
      <c r="M606" s="1"/>
      <c r="N606" s="1"/>
      <c r="O606" s="1"/>
      <c r="P606" s="1"/>
      <c r="Q606" s="3"/>
    </row>
    <row r="607" spans="2:18" x14ac:dyDescent="0.25">
      <c r="B607" s="1"/>
      <c r="C607" s="1"/>
      <c r="D607" s="1"/>
      <c r="E607" s="1"/>
      <c r="F607" s="1"/>
      <c r="G607" s="1"/>
      <c r="H607" s="3"/>
      <c r="K607" s="1"/>
      <c r="L607" s="1"/>
      <c r="M607" s="1"/>
      <c r="N607" s="1"/>
      <c r="O607" s="1"/>
      <c r="P607" s="1"/>
      <c r="Q607" s="3"/>
    </row>
    <row r="608" spans="2:18" x14ac:dyDescent="0.25">
      <c r="B608" s="1"/>
      <c r="C608" s="1"/>
      <c r="D608" s="1"/>
      <c r="E608" s="1"/>
      <c r="F608" s="1"/>
      <c r="G608" s="1"/>
      <c r="H608" s="3"/>
      <c r="K608" s="1"/>
      <c r="L608" s="1"/>
      <c r="M608" s="1"/>
      <c r="N608" s="1"/>
      <c r="O608" s="1"/>
      <c r="P608" s="1"/>
      <c r="Q608" s="3"/>
    </row>
    <row r="609" spans="1:18" x14ac:dyDescent="0.25">
      <c r="B609" s="1"/>
      <c r="C609" s="1"/>
      <c r="D609" s="1"/>
      <c r="E609" s="1"/>
      <c r="F609" s="1"/>
      <c r="G609" s="1"/>
      <c r="H609" s="3"/>
      <c r="K609" s="1"/>
      <c r="L609" s="1"/>
      <c r="M609" s="1"/>
      <c r="N609" s="1"/>
      <c r="O609" s="1"/>
      <c r="P609" s="1"/>
      <c r="Q609" s="3"/>
    </row>
    <row r="610" spans="1:18" x14ac:dyDescent="0.25">
      <c r="B610" s="1"/>
      <c r="C610" s="1"/>
      <c r="D610" s="1"/>
      <c r="E610" s="1"/>
      <c r="F610" s="1"/>
      <c r="G610" s="1"/>
      <c r="H610" s="3"/>
      <c r="I610" s="1"/>
      <c r="J610" s="1"/>
      <c r="K610" s="1"/>
      <c r="L610" s="1"/>
      <c r="M610" s="1"/>
      <c r="N610" s="1"/>
      <c r="O610" s="1"/>
      <c r="P610" s="1"/>
      <c r="Q610" s="3"/>
    </row>
    <row r="611" spans="1:18" x14ac:dyDescent="0.25">
      <c r="A611" s="7"/>
      <c r="B611" s="1"/>
      <c r="C611" s="1"/>
      <c r="D611" s="1"/>
      <c r="E611" s="1"/>
      <c r="F611" s="1"/>
      <c r="G611" s="1"/>
      <c r="H611" s="3"/>
      <c r="K611" s="10"/>
      <c r="L611" s="10"/>
      <c r="M611" s="10"/>
      <c r="N611" s="10"/>
      <c r="O611" s="10"/>
      <c r="P611" s="1"/>
      <c r="Q611" s="3"/>
    </row>
    <row r="612" spans="1:18" x14ac:dyDescent="0.25">
      <c r="B612" s="1"/>
      <c r="C612" s="1"/>
      <c r="D612" s="1"/>
      <c r="E612" s="1"/>
      <c r="F612" s="1"/>
      <c r="G612" s="1"/>
      <c r="H612" s="3"/>
      <c r="K612" s="1"/>
      <c r="L612" s="1"/>
      <c r="M612" s="1"/>
      <c r="N612" s="1"/>
      <c r="O612" s="1"/>
      <c r="P612" s="1"/>
      <c r="Q612" s="3"/>
    </row>
    <row r="613" spans="1:18" x14ac:dyDescent="0.25">
      <c r="B613" s="1"/>
      <c r="C613" s="1"/>
      <c r="D613" s="1"/>
      <c r="E613" s="1"/>
      <c r="F613" s="1"/>
      <c r="G613" s="1"/>
      <c r="H613" s="3"/>
      <c r="K613" s="1"/>
      <c r="L613" s="1"/>
      <c r="M613" s="1"/>
      <c r="N613" s="1"/>
      <c r="O613" s="1"/>
      <c r="P613" s="1"/>
      <c r="Q613" s="3"/>
    </row>
    <row r="614" spans="1:18" x14ac:dyDescent="0.25">
      <c r="B614" s="1"/>
      <c r="C614" s="1"/>
      <c r="D614" s="1"/>
      <c r="E614" s="1"/>
      <c r="F614" s="1"/>
      <c r="G614" s="1"/>
      <c r="H614" s="3"/>
      <c r="K614" s="1"/>
      <c r="L614" s="1"/>
      <c r="M614" s="1"/>
      <c r="N614" s="1"/>
      <c r="O614" s="1"/>
      <c r="P614" s="1"/>
      <c r="Q614" s="3"/>
    </row>
    <row r="615" spans="1:18" x14ac:dyDescent="0.25">
      <c r="B615" s="1"/>
      <c r="C615" s="1"/>
      <c r="D615" s="1"/>
      <c r="E615" s="1"/>
      <c r="F615" s="1"/>
      <c r="G615" s="1"/>
      <c r="H615" s="3"/>
      <c r="K615" s="1"/>
      <c r="L615" s="1"/>
      <c r="M615" s="1"/>
      <c r="N615" s="1"/>
      <c r="O615" s="1"/>
      <c r="P615" s="1"/>
      <c r="Q615" s="3"/>
    </row>
    <row r="616" spans="1:18" x14ac:dyDescent="0.25">
      <c r="B616" s="1"/>
      <c r="C616" s="1"/>
      <c r="D616" s="1"/>
      <c r="E616" s="1"/>
      <c r="F616" s="1"/>
      <c r="G616" s="1"/>
      <c r="H616" s="3"/>
      <c r="K616" s="1"/>
      <c r="L616" s="1"/>
      <c r="M616" s="1"/>
      <c r="N616" s="1"/>
      <c r="O616" s="1"/>
      <c r="P616" s="1"/>
      <c r="Q616" s="3"/>
    </row>
    <row r="617" spans="1:18" x14ac:dyDescent="0.25">
      <c r="B617" s="1"/>
      <c r="C617" s="1"/>
      <c r="D617" s="1"/>
      <c r="E617" s="1"/>
      <c r="F617" s="1"/>
      <c r="G617" s="1"/>
      <c r="H617" s="3"/>
      <c r="K617" s="1"/>
      <c r="L617" s="1"/>
      <c r="M617" s="1"/>
      <c r="N617" s="1"/>
      <c r="O617" s="1"/>
      <c r="P617" s="1"/>
      <c r="Q617" s="3"/>
    </row>
    <row r="618" spans="1:18" x14ac:dyDescent="0.25">
      <c r="B618" s="1"/>
      <c r="C618" s="1"/>
      <c r="D618" s="1"/>
      <c r="E618" s="1"/>
      <c r="F618" s="1"/>
      <c r="G618" s="1"/>
      <c r="H618" s="3"/>
      <c r="K618" s="1"/>
      <c r="L618" s="1"/>
      <c r="M618" s="1"/>
      <c r="N618" s="1"/>
      <c r="O618" s="1"/>
      <c r="P618" s="1"/>
      <c r="Q618" s="3"/>
    </row>
    <row r="619" spans="1:18" x14ac:dyDescent="0.25">
      <c r="B619" s="1"/>
      <c r="C619" s="1"/>
      <c r="D619" s="1"/>
      <c r="E619" s="1"/>
      <c r="F619" s="1"/>
      <c r="G619" s="1"/>
      <c r="H619" s="3"/>
      <c r="I619" s="1"/>
      <c r="J619" s="1"/>
      <c r="K619" s="1"/>
      <c r="L619" s="1"/>
      <c r="M619" s="1"/>
      <c r="N619" s="1"/>
      <c r="O619" s="1"/>
      <c r="P619" s="1"/>
      <c r="Q619" s="3"/>
      <c r="R619" s="1"/>
    </row>
    <row r="620" spans="1:18" x14ac:dyDescent="0.25">
      <c r="B620" s="1"/>
      <c r="C620" s="1"/>
      <c r="D620" s="1"/>
      <c r="E620" s="1"/>
      <c r="F620" s="1"/>
      <c r="G620" s="1"/>
      <c r="H620" s="3"/>
      <c r="I620" s="1"/>
      <c r="J620" s="1"/>
      <c r="K620" s="1"/>
      <c r="L620" s="1"/>
      <c r="M620" s="1"/>
      <c r="N620" s="1"/>
      <c r="O620" s="1"/>
      <c r="P620" s="1"/>
      <c r="Q620" s="3"/>
    </row>
    <row r="621" spans="1:18" x14ac:dyDescent="0.25">
      <c r="B621" s="1"/>
      <c r="C621" s="1"/>
      <c r="D621" s="1"/>
      <c r="E621" s="1"/>
      <c r="F621" s="1"/>
      <c r="G621" s="1"/>
      <c r="H621" s="3"/>
      <c r="K621" s="1"/>
      <c r="L621" s="1"/>
      <c r="M621" s="1"/>
      <c r="N621" s="1"/>
      <c r="O621" s="1"/>
      <c r="P621" s="1"/>
      <c r="Q621" s="3"/>
    </row>
    <row r="622" spans="1:18" x14ac:dyDescent="0.25">
      <c r="K622" s="1"/>
      <c r="L622" s="1"/>
      <c r="M622" s="1"/>
      <c r="N622" s="1"/>
      <c r="O622" s="1"/>
      <c r="P622" s="1"/>
      <c r="Q622" s="3"/>
    </row>
    <row r="623" spans="1:18" x14ac:dyDescent="0.25">
      <c r="K623" s="1"/>
      <c r="L623" s="1"/>
      <c r="M623" s="1"/>
      <c r="N623" s="1"/>
      <c r="O623" s="1"/>
      <c r="P623" s="1"/>
      <c r="Q623" s="3"/>
    </row>
    <row r="624" spans="1:18" x14ac:dyDescent="0.25">
      <c r="B624" s="1"/>
      <c r="C624" s="1"/>
      <c r="D624" s="1"/>
      <c r="E624" s="1"/>
      <c r="F624" s="1"/>
      <c r="G624" s="1"/>
      <c r="H624" s="3"/>
      <c r="K624" s="1"/>
      <c r="L624" s="1"/>
      <c r="M624" s="1"/>
      <c r="N624" s="1"/>
      <c r="O624" s="1"/>
      <c r="P624" s="1"/>
      <c r="Q624" s="3"/>
    </row>
    <row r="625" spans="1:18" x14ac:dyDescent="0.25">
      <c r="B625" s="1"/>
      <c r="C625" s="1"/>
      <c r="D625" s="1"/>
      <c r="E625" s="1"/>
      <c r="F625" s="1"/>
      <c r="G625" s="1"/>
      <c r="H625" s="3"/>
      <c r="I625" s="1"/>
      <c r="J625" s="1"/>
      <c r="K625" s="1"/>
      <c r="L625" s="1"/>
      <c r="M625" s="1"/>
      <c r="N625" s="1"/>
      <c r="O625" s="1"/>
      <c r="P625" s="1"/>
      <c r="Q625" s="3"/>
      <c r="R625" s="1"/>
    </row>
    <row r="626" spans="1:18" x14ac:dyDescent="0.25">
      <c r="A626" s="7"/>
      <c r="B626" s="1"/>
      <c r="C626" s="1"/>
      <c r="D626" s="1"/>
      <c r="E626" s="1"/>
      <c r="F626" s="1"/>
      <c r="G626" s="1"/>
      <c r="H626" s="3"/>
      <c r="K626" s="10"/>
      <c r="L626" s="10"/>
      <c r="M626" s="10"/>
      <c r="N626" s="10"/>
      <c r="O626" s="10"/>
      <c r="P626" s="1"/>
      <c r="Q626" s="3"/>
    </row>
    <row r="627" spans="1:18" x14ac:dyDescent="0.25">
      <c r="B627" s="1"/>
      <c r="C627" s="1"/>
      <c r="D627" s="1"/>
      <c r="E627" s="1"/>
      <c r="F627" s="1"/>
      <c r="G627" s="8"/>
      <c r="H627" s="9"/>
      <c r="K627" s="1"/>
      <c r="L627" s="1"/>
      <c r="M627" s="1"/>
      <c r="N627" s="1"/>
      <c r="O627" s="1"/>
      <c r="P627" s="1"/>
      <c r="Q627" s="3"/>
    </row>
    <row r="628" spans="1:18" x14ac:dyDescent="0.25">
      <c r="B628" s="1"/>
      <c r="C628" s="1"/>
      <c r="D628" s="1"/>
      <c r="E628" s="1"/>
      <c r="F628" s="1"/>
      <c r="G628" s="1"/>
      <c r="H628" s="3"/>
      <c r="K628" s="1"/>
      <c r="L628" s="1"/>
      <c r="M628" s="1"/>
      <c r="N628" s="1"/>
      <c r="O628" s="1"/>
      <c r="P628" s="1"/>
      <c r="Q628" s="3"/>
    </row>
    <row r="629" spans="1:18" x14ac:dyDescent="0.25">
      <c r="B629" s="1"/>
      <c r="C629" s="1"/>
      <c r="D629" s="1"/>
      <c r="E629" s="1"/>
      <c r="F629" s="1"/>
      <c r="G629" s="1"/>
      <c r="H629" s="3"/>
      <c r="K629" s="1"/>
      <c r="L629" s="1"/>
      <c r="M629" s="1"/>
      <c r="N629" s="1"/>
      <c r="O629" s="1"/>
      <c r="P629" s="1"/>
      <c r="Q629" s="3"/>
    </row>
    <row r="630" spans="1:18" x14ac:dyDescent="0.25">
      <c r="B630" s="1"/>
      <c r="C630" s="1"/>
      <c r="D630" s="1"/>
      <c r="E630" s="1"/>
      <c r="F630" s="1"/>
      <c r="G630" s="1"/>
      <c r="H630" s="3"/>
      <c r="K630" s="1"/>
      <c r="L630" s="1"/>
      <c r="M630" s="1"/>
      <c r="N630" s="1"/>
      <c r="O630" s="1"/>
      <c r="P630" s="1"/>
      <c r="Q630" s="3"/>
    </row>
    <row r="631" spans="1:18" x14ac:dyDescent="0.25">
      <c r="B631" s="1"/>
      <c r="C631" s="1"/>
      <c r="D631" s="1"/>
      <c r="E631" s="1"/>
      <c r="F631" s="1"/>
      <c r="G631" s="1"/>
      <c r="H631" s="3"/>
      <c r="I631" s="1"/>
      <c r="J631" s="1"/>
      <c r="K631" s="1"/>
      <c r="L631" s="1"/>
      <c r="M631" s="1"/>
      <c r="N631" s="1"/>
      <c r="O631" s="1"/>
      <c r="P631" s="1"/>
      <c r="Q631" s="3"/>
    </row>
    <row r="632" spans="1:18" x14ac:dyDescent="0.25">
      <c r="B632" s="1"/>
      <c r="C632" s="1"/>
      <c r="D632" s="1"/>
      <c r="E632" s="1"/>
      <c r="F632" s="1"/>
      <c r="G632" s="1"/>
      <c r="H632" s="3"/>
      <c r="K632" s="1"/>
      <c r="L632" s="1"/>
      <c r="M632" s="1"/>
      <c r="N632" s="1"/>
      <c r="O632" s="1"/>
      <c r="P632" s="1"/>
      <c r="Q632" s="3"/>
    </row>
    <row r="633" spans="1:18" x14ac:dyDescent="0.25">
      <c r="B633" s="1"/>
      <c r="C633" s="1"/>
      <c r="D633" s="1"/>
      <c r="E633" s="1"/>
      <c r="F633" s="1"/>
      <c r="G633" s="1"/>
      <c r="H633" s="3"/>
      <c r="K633" s="1"/>
      <c r="L633" s="1"/>
      <c r="M633" s="1"/>
      <c r="N633" s="1"/>
      <c r="O633" s="1"/>
      <c r="P633" s="1"/>
      <c r="Q633" s="3"/>
    </row>
    <row r="634" spans="1:18" x14ac:dyDescent="0.25">
      <c r="B634" s="1"/>
      <c r="C634" s="1"/>
      <c r="D634" s="1"/>
      <c r="E634" s="1"/>
      <c r="F634" s="1"/>
      <c r="G634" s="1"/>
      <c r="H634" s="3"/>
      <c r="I634" s="1"/>
      <c r="J634" s="1"/>
      <c r="K634" s="1"/>
      <c r="L634" s="1"/>
      <c r="M634" s="1"/>
      <c r="N634" s="1"/>
      <c r="O634" s="1"/>
      <c r="P634" s="1"/>
      <c r="Q634" s="3"/>
      <c r="R634" s="1"/>
    </row>
    <row r="635" spans="1:18" x14ac:dyDescent="0.25">
      <c r="B635" s="1"/>
      <c r="C635" s="1"/>
      <c r="D635" s="1"/>
      <c r="E635" s="1"/>
      <c r="F635" s="1"/>
      <c r="G635" s="1"/>
      <c r="H635" s="3"/>
      <c r="K635" s="1"/>
      <c r="L635" s="1"/>
      <c r="M635" s="1"/>
      <c r="N635" s="1"/>
      <c r="O635" s="1"/>
      <c r="P635" s="1"/>
      <c r="Q635" s="3"/>
    </row>
    <row r="636" spans="1:18" x14ac:dyDescent="0.25">
      <c r="B636" s="1"/>
      <c r="C636" s="1"/>
      <c r="D636" s="1"/>
      <c r="E636" s="1"/>
      <c r="F636" s="1"/>
      <c r="G636" s="1"/>
      <c r="H636" s="3"/>
      <c r="K636" s="1"/>
      <c r="L636" s="1"/>
      <c r="M636" s="1"/>
      <c r="N636" s="1"/>
      <c r="O636" s="1"/>
      <c r="P636" s="1"/>
      <c r="Q636" s="3"/>
    </row>
    <row r="637" spans="1:18" x14ac:dyDescent="0.25">
      <c r="B637" s="1"/>
      <c r="C637" s="1"/>
      <c r="D637" s="1"/>
      <c r="E637" s="1"/>
      <c r="F637" s="1"/>
      <c r="G637" s="1"/>
      <c r="H637" s="3"/>
      <c r="I637" s="1"/>
      <c r="J637" s="1"/>
      <c r="K637" s="1"/>
      <c r="L637" s="1"/>
      <c r="M637" s="1"/>
      <c r="N637" s="1"/>
      <c r="O637" s="1"/>
      <c r="P637" s="1"/>
      <c r="Q637" s="3"/>
    </row>
    <row r="638" spans="1:18" x14ac:dyDescent="0.25">
      <c r="B638" s="1"/>
      <c r="C638" s="1"/>
      <c r="D638" s="1"/>
      <c r="E638" s="1"/>
      <c r="F638" s="1"/>
      <c r="G638" s="1"/>
      <c r="H638" s="3"/>
      <c r="K638" s="1"/>
      <c r="L638" s="1"/>
      <c r="M638" s="1"/>
      <c r="N638" s="1"/>
      <c r="O638" s="1"/>
      <c r="P638" s="1"/>
      <c r="Q638" s="3"/>
    </row>
    <row r="639" spans="1:18" x14ac:dyDescent="0.25">
      <c r="B639" s="1"/>
      <c r="C639" s="1"/>
      <c r="D639" s="1"/>
      <c r="E639" s="1"/>
      <c r="F639" s="1"/>
      <c r="G639" s="1"/>
      <c r="H639" s="3"/>
      <c r="I639" s="1"/>
      <c r="J639" s="1"/>
      <c r="K639" s="1"/>
      <c r="L639" s="1"/>
      <c r="M639" s="1"/>
      <c r="N639" s="1"/>
      <c r="O639" s="1"/>
      <c r="P639" s="1"/>
      <c r="Q639" s="3"/>
    </row>
    <row r="640" spans="1:18" x14ac:dyDescent="0.25">
      <c r="B640" s="1"/>
      <c r="C640" s="1"/>
      <c r="D640" s="1"/>
      <c r="E640" s="1"/>
      <c r="F640" s="1"/>
      <c r="G640" s="1"/>
      <c r="H640" s="3"/>
      <c r="K640" s="1"/>
      <c r="L640" s="1"/>
      <c r="M640" s="1"/>
      <c r="N640" s="1"/>
      <c r="O640" s="1"/>
      <c r="P640" s="1"/>
      <c r="Q640" s="3"/>
    </row>
    <row r="641" spans="1:18" x14ac:dyDescent="0.25">
      <c r="B641" s="1"/>
      <c r="C641" s="1"/>
      <c r="D641" s="1"/>
      <c r="E641" s="1"/>
      <c r="F641" s="1"/>
      <c r="G641" s="1"/>
      <c r="H641" s="3"/>
      <c r="K641" s="1"/>
      <c r="L641" s="1"/>
      <c r="M641" s="1"/>
      <c r="N641" s="1"/>
      <c r="O641" s="1"/>
      <c r="P641" s="1"/>
      <c r="Q641" s="3"/>
    </row>
    <row r="642" spans="1:18" x14ac:dyDescent="0.25">
      <c r="B642" s="1"/>
      <c r="C642" s="1"/>
      <c r="D642" s="1"/>
      <c r="E642" s="1"/>
      <c r="F642" s="1"/>
      <c r="G642" s="1"/>
      <c r="H642" s="3"/>
      <c r="I642" s="1"/>
      <c r="J642" s="1"/>
      <c r="K642" s="1"/>
      <c r="L642" s="1"/>
      <c r="M642" s="1"/>
      <c r="N642" s="1"/>
      <c r="O642" s="1"/>
      <c r="P642" s="1"/>
      <c r="Q642" s="3"/>
    </row>
    <row r="643" spans="1:18" x14ac:dyDescent="0.25">
      <c r="B643" s="1"/>
      <c r="C643" s="1"/>
      <c r="D643" s="1"/>
      <c r="E643" s="1"/>
      <c r="F643" s="1"/>
      <c r="G643" s="1"/>
      <c r="H643" s="3"/>
      <c r="K643" s="1"/>
      <c r="L643" s="1"/>
      <c r="M643" s="1"/>
      <c r="N643" s="1"/>
      <c r="O643" s="1"/>
      <c r="P643" s="1"/>
      <c r="Q643" s="3"/>
    </row>
    <row r="644" spans="1:18" x14ac:dyDescent="0.25">
      <c r="B644" s="1"/>
      <c r="C644" s="1"/>
      <c r="D644" s="1"/>
      <c r="E644" s="1"/>
      <c r="F644" s="1"/>
      <c r="G644" s="1"/>
      <c r="H644" s="3"/>
      <c r="K644" s="1"/>
      <c r="L644" s="1"/>
      <c r="M644" s="1"/>
      <c r="N644" s="1"/>
      <c r="O644" s="1"/>
      <c r="P644" s="1"/>
      <c r="Q644" s="3"/>
    </row>
    <row r="645" spans="1:18" x14ac:dyDescent="0.25">
      <c r="B645" s="1"/>
      <c r="C645" s="1"/>
      <c r="D645" s="1"/>
      <c r="E645" s="1"/>
      <c r="F645" s="1"/>
      <c r="G645" s="1"/>
      <c r="H645" s="3"/>
      <c r="K645" s="1"/>
      <c r="L645" s="1"/>
      <c r="M645" s="1"/>
      <c r="N645" s="1"/>
      <c r="O645" s="1"/>
      <c r="P645" s="1"/>
      <c r="Q645" s="3"/>
    </row>
    <row r="646" spans="1:18" x14ac:dyDescent="0.25">
      <c r="B646" s="1"/>
      <c r="C646" s="1"/>
      <c r="D646" s="1"/>
      <c r="E646" s="1"/>
      <c r="F646" s="1"/>
      <c r="G646" s="1"/>
      <c r="H646" s="3"/>
      <c r="I646" s="1"/>
      <c r="J646" s="1"/>
      <c r="K646" s="1"/>
      <c r="L646" s="1"/>
      <c r="M646" s="1"/>
      <c r="N646" s="1"/>
      <c r="O646" s="1"/>
      <c r="P646" s="1"/>
      <c r="Q646" s="3"/>
    </row>
    <row r="647" spans="1:18" x14ac:dyDescent="0.25">
      <c r="B647" s="1"/>
      <c r="C647" s="1"/>
      <c r="D647" s="1"/>
      <c r="E647" s="1"/>
      <c r="F647" s="1"/>
      <c r="G647" s="1"/>
      <c r="H647" s="3"/>
      <c r="K647" s="1"/>
      <c r="L647" s="1"/>
      <c r="M647" s="1"/>
      <c r="N647" s="1"/>
      <c r="O647" s="1"/>
      <c r="P647" s="1"/>
      <c r="Q647" s="3"/>
    </row>
    <row r="648" spans="1:18" x14ac:dyDescent="0.25">
      <c r="B648" s="1"/>
      <c r="C648" s="1"/>
      <c r="D648" s="1"/>
      <c r="E648" s="1"/>
      <c r="F648" s="1"/>
      <c r="G648" s="1"/>
      <c r="H648" s="3"/>
      <c r="K648" s="1"/>
      <c r="L648" s="1"/>
      <c r="M648" s="1"/>
      <c r="N648" s="1"/>
      <c r="O648" s="1"/>
      <c r="P648" s="1"/>
      <c r="Q648" s="3"/>
    </row>
    <row r="649" spans="1:18" x14ac:dyDescent="0.25">
      <c r="B649" s="1"/>
      <c r="C649" s="1"/>
      <c r="D649" s="1"/>
      <c r="E649" s="1"/>
      <c r="F649" s="1"/>
      <c r="G649" s="1"/>
      <c r="H649" s="3"/>
      <c r="I649" s="1"/>
      <c r="J649" s="1"/>
      <c r="K649" s="1"/>
      <c r="L649" s="1"/>
      <c r="M649" s="1"/>
      <c r="N649" s="1"/>
      <c r="O649" s="1"/>
      <c r="P649" s="1"/>
      <c r="Q649" s="3"/>
      <c r="R649" s="1"/>
    </row>
    <row r="650" spans="1:18" x14ac:dyDescent="0.25">
      <c r="A650" s="7"/>
      <c r="B650" s="1"/>
      <c r="C650" s="1"/>
      <c r="D650" s="1"/>
      <c r="E650" s="1"/>
      <c r="F650" s="1"/>
      <c r="G650" s="1"/>
      <c r="H650" s="3"/>
      <c r="K650" s="10"/>
      <c r="L650" s="10"/>
      <c r="M650" s="10"/>
      <c r="N650" s="10"/>
      <c r="O650" s="10"/>
      <c r="P650" s="1"/>
      <c r="Q650" s="3"/>
    </row>
    <row r="651" spans="1:18" x14ac:dyDescent="0.25">
      <c r="A651" s="7"/>
      <c r="B651" s="1"/>
      <c r="C651" s="1"/>
      <c r="D651" s="1"/>
      <c r="E651" s="1"/>
      <c r="F651" s="1"/>
      <c r="G651" s="1"/>
      <c r="H651" s="3"/>
      <c r="K651" s="10"/>
      <c r="L651" s="10"/>
      <c r="M651" s="10"/>
      <c r="N651" s="10"/>
      <c r="O651" s="10"/>
      <c r="P651" s="1"/>
      <c r="Q651" s="3"/>
    </row>
    <row r="652" spans="1:18" x14ac:dyDescent="0.25">
      <c r="B652" s="1"/>
      <c r="C652" s="1"/>
      <c r="D652" s="1"/>
      <c r="E652" s="1"/>
      <c r="F652" s="1"/>
      <c r="G652" s="1"/>
      <c r="H652" s="3"/>
      <c r="K652" s="1"/>
      <c r="L652" s="1"/>
      <c r="M652" s="1"/>
      <c r="N652" s="1"/>
      <c r="O652" s="1"/>
      <c r="P652" s="1"/>
      <c r="Q652" s="3"/>
    </row>
    <row r="653" spans="1:18" x14ac:dyDescent="0.25">
      <c r="B653" s="1"/>
      <c r="C653" s="1"/>
      <c r="D653" s="1"/>
      <c r="E653" s="1"/>
      <c r="F653" s="1"/>
      <c r="G653" s="1"/>
      <c r="H653" s="3"/>
      <c r="I653" s="1"/>
      <c r="J653" s="1"/>
      <c r="K653" s="1"/>
      <c r="L653" s="1"/>
      <c r="M653" s="1"/>
      <c r="N653" s="1"/>
      <c r="O653" s="1"/>
      <c r="P653" s="1"/>
      <c r="Q653" s="3"/>
    </row>
    <row r="654" spans="1:18" x14ac:dyDescent="0.25">
      <c r="B654" s="1"/>
      <c r="C654" s="1"/>
      <c r="D654" s="1"/>
      <c r="E654" s="1"/>
      <c r="F654" s="1"/>
      <c r="G654" s="1"/>
      <c r="H654" s="3"/>
      <c r="K654" s="1"/>
      <c r="L654" s="1"/>
      <c r="M654" s="1"/>
      <c r="N654" s="1"/>
      <c r="O654" s="1"/>
      <c r="P654" s="1"/>
      <c r="Q654" s="3"/>
    </row>
    <row r="655" spans="1:18" x14ac:dyDescent="0.25">
      <c r="B655" s="1"/>
      <c r="C655" s="1"/>
      <c r="D655" s="1"/>
      <c r="E655" s="1"/>
      <c r="F655" s="1"/>
      <c r="G655" s="1"/>
      <c r="H655" s="3"/>
      <c r="K655" s="1"/>
      <c r="L655" s="1"/>
      <c r="M655" s="1"/>
      <c r="N655" s="1"/>
      <c r="O655" s="1"/>
      <c r="P655" s="1"/>
      <c r="Q655" s="3"/>
    </row>
    <row r="656" spans="1:18" x14ac:dyDescent="0.25">
      <c r="B656" s="1"/>
      <c r="C656" s="1"/>
      <c r="D656" s="1"/>
      <c r="E656" s="1"/>
      <c r="F656" s="1"/>
      <c r="G656" s="1"/>
      <c r="H656" s="3"/>
      <c r="K656" s="1"/>
      <c r="L656" s="1"/>
      <c r="M656" s="1"/>
      <c r="N656" s="1"/>
      <c r="O656" s="1"/>
      <c r="P656" s="1"/>
      <c r="Q656" s="3"/>
    </row>
    <row r="657" spans="2:18" x14ac:dyDescent="0.25">
      <c r="B657" s="1"/>
      <c r="C657" s="1"/>
      <c r="D657" s="1"/>
      <c r="E657" s="1"/>
      <c r="F657" s="1"/>
      <c r="G657" s="1"/>
      <c r="H657" s="3"/>
      <c r="K657" s="1"/>
      <c r="L657" s="1"/>
      <c r="M657" s="1"/>
      <c r="N657" s="1"/>
      <c r="O657" s="1"/>
      <c r="P657" s="1"/>
      <c r="Q657" s="3"/>
    </row>
    <row r="658" spans="2:18" x14ac:dyDescent="0.25">
      <c r="B658" s="1"/>
      <c r="C658" s="1"/>
      <c r="D658" s="1"/>
      <c r="E658" s="1"/>
      <c r="F658" s="1"/>
      <c r="G658" s="1"/>
      <c r="H658" s="3"/>
      <c r="K658" s="1"/>
      <c r="L658" s="1"/>
      <c r="M658" s="1"/>
      <c r="N658" s="1"/>
      <c r="O658" s="1"/>
      <c r="P658" s="1"/>
      <c r="Q658" s="3"/>
    </row>
    <row r="659" spans="2:18" x14ac:dyDescent="0.25">
      <c r="B659" s="1"/>
      <c r="C659" s="1"/>
      <c r="D659" s="1"/>
      <c r="E659" s="1"/>
      <c r="F659" s="1"/>
      <c r="G659" s="1"/>
      <c r="H659" s="3"/>
      <c r="I659" s="1"/>
      <c r="J659" s="1"/>
      <c r="K659" s="1"/>
      <c r="L659" s="1"/>
      <c r="M659" s="1"/>
      <c r="N659" s="1"/>
      <c r="O659" s="1"/>
      <c r="P659" s="1"/>
      <c r="Q659" s="3"/>
      <c r="R659" s="1"/>
    </row>
    <row r="660" spans="2:18" x14ac:dyDescent="0.25">
      <c r="B660" s="1"/>
      <c r="C660" s="1"/>
      <c r="D660" s="1"/>
      <c r="E660" s="1"/>
      <c r="F660" s="1"/>
      <c r="G660" s="1"/>
      <c r="H660" s="3"/>
      <c r="K660" s="1"/>
      <c r="L660" s="1"/>
      <c r="M660" s="1"/>
      <c r="N660" s="1"/>
      <c r="O660" s="1"/>
      <c r="P660" s="1"/>
      <c r="Q660" s="3"/>
    </row>
    <row r="661" spans="2:18" x14ac:dyDescent="0.25">
      <c r="K661" s="1"/>
      <c r="L661" s="1"/>
      <c r="M661" s="1"/>
      <c r="N661" s="1"/>
      <c r="O661" s="1"/>
      <c r="P661" s="1"/>
      <c r="Q661" s="3"/>
    </row>
    <row r="662" spans="2:18" x14ac:dyDescent="0.25">
      <c r="B662" s="1"/>
      <c r="C662" s="1"/>
      <c r="D662" s="1"/>
      <c r="E662" s="1"/>
      <c r="F662" s="1"/>
      <c r="G662" s="1"/>
      <c r="H662" s="3"/>
      <c r="K662" s="1"/>
      <c r="L662" s="1"/>
      <c r="M662" s="1"/>
      <c r="N662" s="1"/>
      <c r="O662" s="1"/>
      <c r="P662" s="1"/>
      <c r="Q662" s="3"/>
    </row>
    <row r="663" spans="2:18" x14ac:dyDescent="0.25">
      <c r="B663" s="1"/>
      <c r="C663" s="1"/>
      <c r="D663" s="1"/>
      <c r="E663" s="1"/>
      <c r="F663" s="1"/>
      <c r="G663" s="1"/>
      <c r="H663" s="3"/>
      <c r="I663" s="1"/>
      <c r="J663" s="1"/>
      <c r="K663" s="1"/>
      <c r="L663" s="1"/>
      <c r="M663" s="1"/>
      <c r="N663" s="1"/>
      <c r="O663" s="1"/>
      <c r="P663" s="1"/>
      <c r="Q663" s="3"/>
    </row>
    <row r="664" spans="2:18" x14ac:dyDescent="0.25">
      <c r="B664" s="1"/>
      <c r="C664" s="1"/>
      <c r="D664" s="1"/>
      <c r="E664" s="1"/>
      <c r="F664" s="1"/>
      <c r="G664" s="1"/>
      <c r="H664" s="3"/>
      <c r="I664" s="1"/>
      <c r="J664" s="1"/>
      <c r="K664" s="1"/>
      <c r="L664" s="1"/>
      <c r="M664" s="1"/>
      <c r="N664" s="1"/>
      <c r="O664" s="1"/>
      <c r="P664" s="1"/>
      <c r="Q664" s="3"/>
    </row>
    <row r="665" spans="2:18" x14ac:dyDescent="0.25">
      <c r="B665" s="1"/>
      <c r="C665" s="1"/>
      <c r="D665" s="1"/>
      <c r="E665" s="1"/>
      <c r="F665" s="1"/>
      <c r="G665" s="1"/>
      <c r="H665" s="3"/>
      <c r="K665" s="1"/>
      <c r="L665" s="1"/>
      <c r="M665" s="1"/>
      <c r="N665" s="1"/>
      <c r="O665" s="1"/>
      <c r="P665" s="1"/>
      <c r="Q665" s="3"/>
    </row>
    <row r="666" spans="2:18" x14ac:dyDescent="0.25">
      <c r="B666" s="1"/>
      <c r="C666" s="1"/>
      <c r="D666" s="1"/>
      <c r="E666" s="1"/>
      <c r="F666" s="1"/>
      <c r="G666" s="1"/>
      <c r="H666" s="3"/>
      <c r="I666" s="1"/>
      <c r="J666" s="1"/>
      <c r="K666" s="1"/>
      <c r="L666" s="1"/>
      <c r="M666" s="1"/>
      <c r="N666" s="1"/>
      <c r="O666" s="1"/>
      <c r="P666" s="1"/>
      <c r="Q666" s="3"/>
    </row>
    <row r="667" spans="2:18" x14ac:dyDescent="0.25">
      <c r="B667" s="1"/>
      <c r="C667" s="1"/>
      <c r="D667" s="1"/>
      <c r="E667" s="1"/>
      <c r="F667" s="1"/>
      <c r="G667" s="1"/>
      <c r="H667" s="3"/>
      <c r="K667" s="1"/>
      <c r="L667" s="1"/>
      <c r="M667" s="1"/>
      <c r="N667" s="1"/>
      <c r="O667" s="1"/>
      <c r="P667" s="1"/>
      <c r="Q667" s="3"/>
    </row>
    <row r="668" spans="2:18" x14ac:dyDescent="0.25">
      <c r="B668" s="1"/>
      <c r="C668" s="1"/>
      <c r="D668" s="1"/>
      <c r="E668" s="1"/>
      <c r="F668" s="1"/>
      <c r="G668" s="1"/>
      <c r="H668" s="3"/>
      <c r="K668" s="1"/>
      <c r="L668" s="1"/>
      <c r="M668" s="1"/>
      <c r="N668" s="1"/>
      <c r="O668" s="1"/>
      <c r="P668" s="1"/>
      <c r="Q668" s="3"/>
    </row>
    <row r="669" spans="2:18" x14ac:dyDescent="0.25">
      <c r="B669" s="1"/>
      <c r="C669" s="1"/>
      <c r="D669" s="1"/>
      <c r="E669" s="1"/>
      <c r="F669" s="1"/>
      <c r="G669" s="1"/>
      <c r="H669" s="3"/>
      <c r="I669" s="1"/>
      <c r="J669" s="1"/>
      <c r="K669" s="1"/>
      <c r="L669" s="1"/>
      <c r="M669" s="1"/>
      <c r="N669" s="1"/>
      <c r="O669" s="1"/>
      <c r="P669" s="1"/>
      <c r="Q669" s="3"/>
    </row>
    <row r="670" spans="2:18" x14ac:dyDescent="0.25">
      <c r="B670" s="1"/>
      <c r="C670" s="1"/>
      <c r="D670" s="1"/>
      <c r="E670" s="1"/>
      <c r="F670" s="1"/>
      <c r="G670" s="1"/>
      <c r="H670" s="3"/>
      <c r="K670" s="1"/>
      <c r="L670" s="1"/>
      <c r="M670" s="1"/>
      <c r="N670" s="1"/>
      <c r="O670" s="1"/>
      <c r="P670" s="1"/>
      <c r="Q670" s="3"/>
    </row>
    <row r="671" spans="2:18" x14ac:dyDescent="0.25">
      <c r="B671" s="1"/>
      <c r="C671" s="1"/>
      <c r="D671" s="1"/>
      <c r="E671" s="1"/>
      <c r="F671" s="1"/>
      <c r="G671" s="8"/>
      <c r="H671" s="9"/>
      <c r="K671" s="1"/>
      <c r="L671" s="1"/>
      <c r="M671" s="1"/>
      <c r="N671" s="1"/>
      <c r="O671" s="1"/>
      <c r="P671" s="1"/>
      <c r="Q671" s="3"/>
    </row>
    <row r="672" spans="2:18" x14ac:dyDescent="0.25">
      <c r="B672" s="1"/>
      <c r="C672" s="1"/>
      <c r="D672" s="1"/>
      <c r="E672" s="1"/>
      <c r="F672" s="1"/>
      <c r="G672" s="8"/>
      <c r="H672" s="9"/>
      <c r="K672" s="1"/>
      <c r="L672" s="1"/>
      <c r="M672" s="1"/>
      <c r="N672" s="1"/>
      <c r="O672" s="1"/>
      <c r="P672" s="1"/>
      <c r="Q672" s="3"/>
    </row>
    <row r="673" spans="1:18" x14ac:dyDescent="0.25">
      <c r="B673" s="1"/>
      <c r="C673" s="1"/>
      <c r="D673" s="1"/>
      <c r="E673" s="1"/>
      <c r="F673" s="1"/>
      <c r="G673" s="1"/>
      <c r="H673" s="3"/>
      <c r="K673" s="1"/>
      <c r="L673" s="1"/>
      <c r="M673" s="1"/>
      <c r="N673" s="1"/>
      <c r="O673" s="1"/>
      <c r="P673" s="1"/>
      <c r="Q673" s="3"/>
    </row>
    <row r="674" spans="1:18" x14ac:dyDescent="0.25">
      <c r="B674" s="1"/>
      <c r="C674" s="1"/>
      <c r="D674" s="1"/>
      <c r="E674" s="1"/>
      <c r="F674" s="1"/>
      <c r="G674" s="1"/>
      <c r="H674" s="3"/>
      <c r="I674" s="1"/>
      <c r="J674" s="1"/>
      <c r="K674" s="1"/>
      <c r="L674" s="1"/>
      <c r="M674" s="1"/>
      <c r="N674" s="1"/>
      <c r="O674" s="1"/>
      <c r="P674" s="1"/>
      <c r="Q674" s="3"/>
      <c r="R674" s="1"/>
    </row>
    <row r="675" spans="1:18" x14ac:dyDescent="0.25">
      <c r="B675" s="1"/>
      <c r="C675" s="1"/>
      <c r="D675" s="1"/>
      <c r="E675" s="1"/>
      <c r="F675" s="1"/>
      <c r="G675" s="1"/>
      <c r="H675" s="3"/>
      <c r="I675" s="1"/>
      <c r="J675" s="1"/>
      <c r="K675" s="1"/>
      <c r="L675" s="1"/>
      <c r="M675" s="1"/>
      <c r="N675" s="1"/>
      <c r="O675" s="1"/>
      <c r="P675" s="1"/>
      <c r="Q675" s="3"/>
    </row>
    <row r="676" spans="1:18" x14ac:dyDescent="0.25">
      <c r="A676" s="7"/>
      <c r="B676" s="1"/>
      <c r="C676" s="1"/>
      <c r="D676" s="1"/>
      <c r="E676" s="1"/>
      <c r="F676" s="1"/>
      <c r="G676" s="1"/>
      <c r="H676" s="3"/>
      <c r="K676" s="10"/>
      <c r="L676" s="10"/>
      <c r="M676" s="10"/>
      <c r="N676" s="10"/>
      <c r="O676" s="10"/>
      <c r="P676" s="1"/>
      <c r="Q676" s="3"/>
    </row>
    <row r="677" spans="1:18" x14ac:dyDescent="0.25">
      <c r="B677" s="1"/>
      <c r="C677" s="1"/>
      <c r="D677" s="1"/>
      <c r="E677" s="1"/>
      <c r="F677" s="1"/>
      <c r="G677" s="1"/>
      <c r="H677" s="3"/>
      <c r="K677" s="1"/>
      <c r="L677" s="1"/>
      <c r="M677" s="1"/>
      <c r="N677" s="1"/>
      <c r="O677" s="1"/>
      <c r="P677" s="1"/>
      <c r="Q677" s="3"/>
    </row>
    <row r="678" spans="1:18" x14ac:dyDescent="0.25">
      <c r="B678" s="1"/>
      <c r="C678" s="1"/>
      <c r="D678" s="1"/>
      <c r="E678" s="1"/>
      <c r="F678" s="1"/>
      <c r="G678" s="1"/>
      <c r="H678" s="3"/>
      <c r="I678" s="1"/>
      <c r="J678" s="1"/>
      <c r="K678" s="1"/>
      <c r="L678" s="1"/>
      <c r="M678" s="1"/>
      <c r="N678" s="1"/>
      <c r="O678" s="1"/>
      <c r="P678" s="1"/>
      <c r="Q678" s="3"/>
    </row>
    <row r="679" spans="1:18" x14ac:dyDescent="0.25">
      <c r="K679" s="1"/>
      <c r="L679" s="1"/>
      <c r="M679" s="1"/>
      <c r="N679" s="1"/>
      <c r="O679" s="1"/>
      <c r="P679" s="1"/>
      <c r="Q679" s="3"/>
    </row>
    <row r="680" spans="1:18" x14ac:dyDescent="0.25">
      <c r="B680" s="1"/>
      <c r="C680" s="1"/>
      <c r="D680" s="1"/>
      <c r="E680" s="1"/>
      <c r="F680" s="1"/>
      <c r="G680" s="1"/>
      <c r="H680" s="3"/>
      <c r="K680" s="1"/>
      <c r="L680" s="1"/>
      <c r="M680" s="1"/>
      <c r="N680" s="1"/>
      <c r="O680" s="1"/>
      <c r="P680" s="1"/>
      <c r="Q680" s="3"/>
    </row>
    <row r="681" spans="1:18" x14ac:dyDescent="0.25">
      <c r="B681" s="1"/>
      <c r="C681" s="1"/>
      <c r="D681" s="1"/>
      <c r="E681" s="1"/>
      <c r="F681" s="1"/>
      <c r="G681" s="1"/>
      <c r="H681" s="3"/>
      <c r="K681" s="1"/>
      <c r="L681" s="1"/>
      <c r="M681" s="1"/>
      <c r="N681" s="1"/>
      <c r="O681" s="1"/>
      <c r="P681" s="1"/>
      <c r="Q681" s="3"/>
    </row>
    <row r="682" spans="1:18" x14ac:dyDescent="0.25">
      <c r="B682" s="1"/>
      <c r="C682" s="1"/>
      <c r="D682" s="1"/>
      <c r="E682" s="1"/>
      <c r="F682" s="1"/>
      <c r="G682" s="1"/>
      <c r="H682" s="3"/>
      <c r="K682" s="1"/>
      <c r="L682" s="1"/>
      <c r="M682" s="1"/>
      <c r="N682" s="1"/>
      <c r="O682" s="1"/>
      <c r="P682" s="1"/>
      <c r="Q682" s="3"/>
    </row>
    <row r="683" spans="1:18" x14ac:dyDescent="0.25">
      <c r="B683" s="1"/>
      <c r="C683" s="1"/>
      <c r="D683" s="1"/>
      <c r="E683" s="1"/>
      <c r="F683" s="1"/>
      <c r="G683" s="1"/>
      <c r="H683" s="3"/>
      <c r="K683" s="1"/>
      <c r="L683" s="1"/>
      <c r="M683" s="1"/>
      <c r="N683" s="1"/>
      <c r="O683" s="1"/>
      <c r="P683" s="1"/>
      <c r="Q683" s="3"/>
    </row>
    <row r="684" spans="1:18" x14ac:dyDescent="0.25">
      <c r="B684" s="1"/>
      <c r="C684" s="1"/>
      <c r="D684" s="1"/>
      <c r="E684" s="1"/>
      <c r="F684" s="1"/>
      <c r="G684" s="1"/>
      <c r="H684" s="3"/>
      <c r="I684" s="1"/>
      <c r="J684" s="1"/>
      <c r="K684" s="1"/>
      <c r="L684" s="1"/>
      <c r="M684" s="1"/>
      <c r="N684" s="1"/>
      <c r="O684" s="1"/>
      <c r="P684" s="1"/>
      <c r="Q684" s="3"/>
      <c r="R684" s="1"/>
    </row>
    <row r="685" spans="1:18" x14ac:dyDescent="0.25">
      <c r="A685" s="7"/>
      <c r="B685" s="1"/>
      <c r="C685" s="1"/>
      <c r="D685" s="1"/>
      <c r="E685" s="1"/>
      <c r="F685" s="1"/>
      <c r="G685" s="1"/>
      <c r="H685" s="3"/>
      <c r="K685" s="10"/>
      <c r="L685" s="10"/>
      <c r="M685" s="10"/>
      <c r="N685" s="10"/>
      <c r="O685" s="10"/>
      <c r="P685" s="1"/>
      <c r="Q685" s="3"/>
    </row>
    <row r="686" spans="1:18" x14ac:dyDescent="0.25">
      <c r="B686" s="1"/>
      <c r="C686" s="1"/>
      <c r="D686" s="1"/>
      <c r="E686" s="1"/>
      <c r="F686" s="1"/>
      <c r="G686" s="1"/>
      <c r="H686" s="3"/>
      <c r="K686" s="1"/>
      <c r="L686" s="1"/>
      <c r="M686" s="1"/>
      <c r="N686" s="1"/>
      <c r="O686" s="1"/>
      <c r="P686" s="1"/>
      <c r="Q686" s="3"/>
    </row>
    <row r="687" spans="1:18" x14ac:dyDescent="0.25">
      <c r="B687" s="1"/>
      <c r="C687" s="1"/>
      <c r="D687" s="1"/>
      <c r="E687" s="1"/>
      <c r="F687" s="1"/>
      <c r="G687" s="1"/>
      <c r="H687" s="3"/>
      <c r="K687" s="1"/>
      <c r="L687" s="1"/>
      <c r="M687" s="1"/>
      <c r="N687" s="1"/>
      <c r="O687" s="1"/>
      <c r="P687" s="1"/>
      <c r="Q687" s="3"/>
    </row>
    <row r="688" spans="1:18" x14ac:dyDescent="0.25">
      <c r="B688" s="1"/>
      <c r="C688" s="1"/>
      <c r="D688" s="1"/>
      <c r="E688" s="1"/>
      <c r="F688" s="1"/>
      <c r="G688" s="1"/>
      <c r="H688" s="3"/>
      <c r="I688" s="1"/>
      <c r="J688" s="1"/>
      <c r="K688" s="1"/>
      <c r="L688" s="1"/>
      <c r="M688" s="1"/>
      <c r="N688" s="1"/>
      <c r="O688" s="1"/>
      <c r="P688" s="1"/>
      <c r="Q688" s="3"/>
    </row>
    <row r="689" spans="1:18" x14ac:dyDescent="0.25">
      <c r="K689" s="1"/>
      <c r="L689" s="1"/>
      <c r="M689" s="1"/>
      <c r="N689" s="1"/>
      <c r="O689" s="1"/>
      <c r="P689" s="1"/>
      <c r="Q689" s="3"/>
    </row>
    <row r="690" spans="1:18" x14ac:dyDescent="0.25">
      <c r="B690" s="1"/>
      <c r="C690" s="1"/>
      <c r="D690" s="1"/>
      <c r="E690" s="1"/>
      <c r="F690" s="1"/>
      <c r="G690" s="1"/>
      <c r="H690" s="3"/>
      <c r="K690" s="1"/>
      <c r="L690" s="1"/>
      <c r="M690" s="1"/>
      <c r="N690" s="1"/>
      <c r="O690" s="1"/>
      <c r="P690" s="1"/>
      <c r="Q690" s="3"/>
    </row>
    <row r="691" spans="1:18" x14ac:dyDescent="0.25">
      <c r="K691" s="1"/>
      <c r="L691" s="1"/>
      <c r="M691" s="1"/>
      <c r="N691" s="1"/>
      <c r="O691" s="1"/>
      <c r="P691" s="1"/>
      <c r="Q691" s="3"/>
    </row>
    <row r="692" spans="1:18" x14ac:dyDescent="0.25">
      <c r="B692" s="1"/>
      <c r="C692" s="1"/>
      <c r="D692" s="1"/>
      <c r="E692" s="1"/>
      <c r="F692" s="1"/>
      <c r="G692" s="1"/>
      <c r="H692" s="3"/>
      <c r="I692" s="1"/>
      <c r="J692" s="1"/>
      <c r="K692" s="1"/>
      <c r="L692" s="1"/>
      <c r="M692" s="1"/>
      <c r="N692" s="1"/>
      <c r="O692" s="1"/>
      <c r="P692" s="1"/>
      <c r="Q692" s="3"/>
      <c r="R692" s="1"/>
    </row>
    <row r="693" spans="1:18" x14ac:dyDescent="0.25">
      <c r="B693" s="1"/>
      <c r="C693" s="1"/>
      <c r="D693" s="1"/>
      <c r="E693" s="1"/>
      <c r="F693" s="1"/>
      <c r="G693" s="1"/>
      <c r="H693" s="3"/>
      <c r="K693" s="1"/>
      <c r="L693" s="1"/>
      <c r="M693" s="1"/>
      <c r="N693" s="1"/>
      <c r="O693" s="1"/>
      <c r="P693" s="1"/>
      <c r="Q693" s="3"/>
    </row>
    <row r="694" spans="1:18" x14ac:dyDescent="0.25">
      <c r="B694" s="1"/>
      <c r="C694" s="1"/>
      <c r="D694" s="1"/>
      <c r="E694" s="1"/>
      <c r="F694" s="1"/>
      <c r="G694" s="1"/>
      <c r="H694" s="3"/>
      <c r="I694" s="1"/>
      <c r="J694" s="1"/>
      <c r="K694" s="1"/>
      <c r="L694" s="1"/>
      <c r="M694" s="1"/>
      <c r="N694" s="1"/>
      <c r="O694" s="1"/>
      <c r="P694" s="1"/>
      <c r="Q694" s="3"/>
      <c r="R694" s="1"/>
    </row>
    <row r="695" spans="1:18" x14ac:dyDescent="0.25">
      <c r="B695" s="1"/>
      <c r="C695" s="1"/>
      <c r="D695" s="1"/>
      <c r="E695" s="1"/>
      <c r="F695" s="1"/>
      <c r="G695" s="8"/>
      <c r="H695" s="9"/>
      <c r="K695" s="1"/>
      <c r="L695" s="1"/>
      <c r="M695" s="1"/>
      <c r="N695" s="1"/>
      <c r="O695" s="1"/>
      <c r="P695" s="1"/>
      <c r="Q695" s="3"/>
    </row>
    <row r="696" spans="1:18" x14ac:dyDescent="0.25">
      <c r="K696" s="1"/>
      <c r="L696" s="1"/>
      <c r="M696" s="1"/>
      <c r="N696" s="1"/>
      <c r="O696" s="1"/>
      <c r="P696" s="1"/>
      <c r="Q696" s="3"/>
    </row>
    <row r="697" spans="1:18" x14ac:dyDescent="0.25">
      <c r="K697" s="1"/>
      <c r="L697" s="1"/>
      <c r="M697" s="1"/>
      <c r="N697" s="1"/>
      <c r="O697" s="1"/>
      <c r="P697" s="1"/>
      <c r="Q697" s="3"/>
    </row>
    <row r="698" spans="1:18" x14ac:dyDescent="0.25">
      <c r="B698" s="1"/>
      <c r="C698" s="1"/>
      <c r="D698" s="1"/>
      <c r="E698" s="1"/>
      <c r="F698" s="1"/>
      <c r="G698" s="1"/>
      <c r="H698" s="3"/>
      <c r="K698" s="1"/>
      <c r="L698" s="1"/>
      <c r="M698" s="1"/>
      <c r="N698" s="1"/>
      <c r="O698" s="1"/>
      <c r="P698" s="1"/>
      <c r="Q698" s="3"/>
    </row>
    <row r="699" spans="1:18" x14ac:dyDescent="0.25">
      <c r="B699" s="1"/>
      <c r="C699" s="1"/>
      <c r="D699" s="1"/>
      <c r="E699" s="1"/>
      <c r="F699" s="1"/>
      <c r="G699" s="1"/>
      <c r="H699" s="3"/>
      <c r="K699" s="1"/>
      <c r="L699" s="1"/>
      <c r="M699" s="1"/>
      <c r="N699" s="1"/>
      <c r="O699" s="1"/>
      <c r="P699" s="1"/>
      <c r="Q699" s="3"/>
    </row>
    <row r="700" spans="1:18" x14ac:dyDescent="0.25">
      <c r="B700" s="1"/>
      <c r="C700" s="1"/>
      <c r="D700" s="1"/>
      <c r="E700" s="1"/>
      <c r="F700" s="1"/>
      <c r="G700" s="1"/>
      <c r="H700" s="3"/>
      <c r="K700" s="1"/>
      <c r="L700" s="1"/>
      <c r="M700" s="1"/>
      <c r="N700" s="1"/>
      <c r="O700" s="1"/>
      <c r="P700" s="1"/>
      <c r="Q700" s="3"/>
    </row>
    <row r="701" spans="1:18" x14ac:dyDescent="0.25">
      <c r="B701" s="1"/>
      <c r="C701" s="1"/>
      <c r="D701" s="1"/>
      <c r="E701" s="1"/>
      <c r="F701" s="1"/>
      <c r="G701" s="1"/>
      <c r="H701" s="3"/>
      <c r="K701" s="1"/>
      <c r="L701" s="1"/>
      <c r="M701" s="1"/>
      <c r="N701" s="1"/>
      <c r="O701" s="1"/>
      <c r="P701" s="1"/>
      <c r="Q701" s="3"/>
    </row>
    <row r="702" spans="1:18" x14ac:dyDescent="0.25">
      <c r="A702" s="7"/>
      <c r="B702" s="1"/>
      <c r="C702" s="1"/>
      <c r="D702" s="1"/>
      <c r="E702" s="1"/>
      <c r="F702" s="1"/>
      <c r="G702" s="1"/>
      <c r="H702" s="3"/>
      <c r="K702" s="10"/>
      <c r="L702" s="10"/>
      <c r="M702" s="10"/>
      <c r="N702" s="10"/>
      <c r="O702" s="10"/>
      <c r="P702" s="1"/>
      <c r="Q702" s="3"/>
    </row>
    <row r="703" spans="1:18" x14ac:dyDescent="0.25">
      <c r="B703" s="1"/>
      <c r="C703" s="1"/>
      <c r="D703" s="1"/>
      <c r="E703" s="1"/>
      <c r="F703" s="1"/>
      <c r="G703" s="1"/>
      <c r="H703" s="3"/>
      <c r="K703" s="1"/>
      <c r="L703" s="1"/>
      <c r="M703" s="1"/>
      <c r="N703" s="1"/>
      <c r="O703" s="1"/>
      <c r="P703" s="1"/>
      <c r="Q703" s="3"/>
    </row>
    <row r="704" spans="1:18" x14ac:dyDescent="0.25">
      <c r="B704" s="1"/>
      <c r="C704" s="1"/>
      <c r="D704" s="1"/>
      <c r="E704" s="1"/>
      <c r="F704" s="1"/>
      <c r="G704" s="1"/>
      <c r="H704" s="3"/>
      <c r="K704" s="1"/>
      <c r="L704" s="1"/>
      <c r="M704" s="1"/>
      <c r="N704" s="1"/>
      <c r="O704" s="1"/>
      <c r="P704" s="1"/>
      <c r="Q704" s="3"/>
    </row>
    <row r="705" spans="1:17" x14ac:dyDescent="0.25">
      <c r="B705" s="1"/>
      <c r="C705" s="1"/>
      <c r="D705" s="1"/>
      <c r="E705" s="1"/>
      <c r="F705" s="1"/>
      <c r="G705" s="1"/>
      <c r="H705" s="3"/>
      <c r="K705" s="1"/>
      <c r="L705" s="1"/>
      <c r="M705" s="1"/>
      <c r="N705" s="1"/>
      <c r="O705" s="1"/>
      <c r="P705" s="1"/>
      <c r="Q705" s="3"/>
    </row>
    <row r="706" spans="1:17" x14ac:dyDescent="0.25">
      <c r="B706" s="1"/>
      <c r="C706" s="1"/>
      <c r="D706" s="1"/>
      <c r="E706" s="1"/>
      <c r="F706" s="1"/>
      <c r="G706" s="8"/>
      <c r="H706" s="9"/>
      <c r="K706" s="1"/>
      <c r="L706" s="1"/>
      <c r="M706" s="1"/>
      <c r="N706" s="1"/>
      <c r="O706" s="1"/>
      <c r="P706" s="1"/>
      <c r="Q706" s="3"/>
    </row>
    <row r="707" spans="1:17" x14ac:dyDescent="0.25">
      <c r="B707" s="1"/>
      <c r="C707" s="1"/>
      <c r="D707" s="1"/>
      <c r="E707" s="1"/>
      <c r="F707" s="1"/>
      <c r="G707" s="1"/>
      <c r="H707" s="3"/>
      <c r="K707" s="1"/>
      <c r="L707" s="1"/>
      <c r="M707" s="1"/>
      <c r="N707" s="1"/>
      <c r="O707" s="1"/>
      <c r="P707" s="1"/>
      <c r="Q707" s="3"/>
    </row>
    <row r="708" spans="1:17" x14ac:dyDescent="0.25">
      <c r="B708" s="1"/>
      <c r="C708" s="1"/>
      <c r="D708" s="1"/>
      <c r="E708" s="1"/>
      <c r="F708" s="1"/>
      <c r="G708" s="8"/>
      <c r="H708" s="9"/>
      <c r="K708" s="1"/>
      <c r="L708" s="1"/>
      <c r="M708" s="1"/>
      <c r="N708" s="1"/>
      <c r="O708" s="1"/>
      <c r="P708" s="1"/>
      <c r="Q708" s="3"/>
    </row>
    <row r="709" spans="1:17" x14ac:dyDescent="0.25">
      <c r="B709" s="1"/>
      <c r="C709" s="1"/>
      <c r="D709" s="1"/>
      <c r="E709" s="1"/>
      <c r="F709" s="1"/>
      <c r="G709" s="1"/>
      <c r="H709" s="3"/>
      <c r="I709" s="1"/>
      <c r="J709" s="1"/>
      <c r="K709" s="1"/>
      <c r="L709" s="1"/>
      <c r="M709" s="1"/>
      <c r="N709" s="1"/>
      <c r="O709" s="1"/>
      <c r="P709" s="1"/>
      <c r="Q709" s="3"/>
    </row>
    <row r="710" spans="1:17" x14ac:dyDescent="0.25">
      <c r="B710" s="1"/>
      <c r="C710" s="1"/>
      <c r="D710" s="1"/>
      <c r="E710" s="1"/>
      <c r="F710" s="1"/>
      <c r="G710" s="1"/>
      <c r="H710" s="3"/>
      <c r="K710" s="1"/>
      <c r="L710" s="1"/>
      <c r="M710" s="1"/>
      <c r="N710" s="1"/>
      <c r="O710" s="1"/>
      <c r="P710" s="1"/>
      <c r="Q710" s="3"/>
    </row>
    <row r="711" spans="1:17" x14ac:dyDescent="0.25">
      <c r="A711" s="7"/>
      <c r="B711" s="1"/>
      <c r="C711" s="1"/>
      <c r="D711" s="1"/>
      <c r="E711" s="1"/>
      <c r="F711" s="1"/>
      <c r="G711" s="1"/>
      <c r="H711" s="3"/>
      <c r="K711" s="10"/>
      <c r="L711" s="10"/>
      <c r="M711" s="10"/>
      <c r="N711" s="10"/>
      <c r="O711" s="10"/>
      <c r="P711" s="1"/>
      <c r="Q711" s="3"/>
    </row>
    <row r="712" spans="1:17" x14ac:dyDescent="0.25">
      <c r="B712" s="1"/>
      <c r="C712" s="1"/>
      <c r="D712" s="1"/>
      <c r="E712" s="1"/>
      <c r="F712" s="1"/>
      <c r="G712" s="1"/>
      <c r="H712" s="3"/>
      <c r="I712" s="1"/>
      <c r="J712" s="1"/>
      <c r="K712" s="1"/>
      <c r="L712" s="1"/>
      <c r="M712" s="1"/>
      <c r="N712" s="1"/>
      <c r="O712" s="1"/>
      <c r="P712" s="1"/>
      <c r="Q712" s="3"/>
    </row>
    <row r="713" spans="1:17" x14ac:dyDescent="0.25">
      <c r="B713" s="1"/>
      <c r="C713" s="1"/>
      <c r="D713" s="1"/>
      <c r="E713" s="1"/>
      <c r="F713" s="1"/>
      <c r="G713" s="1"/>
      <c r="H713" s="3"/>
      <c r="K713" s="1"/>
      <c r="L713" s="1"/>
      <c r="M713" s="1"/>
      <c r="N713" s="1"/>
      <c r="O713" s="1"/>
      <c r="P713" s="1"/>
      <c r="Q713" s="3"/>
    </row>
    <row r="714" spans="1:17" x14ac:dyDescent="0.25">
      <c r="B714" s="1"/>
      <c r="C714" s="1"/>
      <c r="D714" s="1"/>
      <c r="E714" s="1"/>
      <c r="F714" s="1"/>
      <c r="G714" s="1"/>
      <c r="H714" s="3"/>
      <c r="K714" s="1"/>
      <c r="L714" s="1"/>
      <c r="M714" s="1"/>
      <c r="N714" s="1"/>
      <c r="O714" s="1"/>
      <c r="P714" s="1"/>
      <c r="Q714" s="3"/>
    </row>
    <row r="715" spans="1:17" x14ac:dyDescent="0.25">
      <c r="B715" s="1"/>
      <c r="C715" s="1"/>
      <c r="D715" s="1"/>
      <c r="E715" s="1"/>
      <c r="F715" s="1"/>
      <c r="G715" s="1"/>
      <c r="H715" s="3"/>
      <c r="I715" s="1"/>
      <c r="J715" s="1"/>
      <c r="K715" s="1"/>
      <c r="L715" s="1"/>
      <c r="M715" s="1"/>
      <c r="N715" s="1"/>
      <c r="O715" s="1"/>
      <c r="P715" s="1"/>
      <c r="Q715" s="3"/>
    </row>
    <row r="716" spans="1:17" x14ac:dyDescent="0.25">
      <c r="B716" s="1"/>
      <c r="C716" s="1"/>
      <c r="D716" s="1"/>
      <c r="E716" s="1"/>
      <c r="F716" s="1"/>
      <c r="G716" s="1"/>
      <c r="H716" s="3"/>
      <c r="K716" s="1"/>
      <c r="L716" s="1"/>
      <c r="M716" s="1"/>
      <c r="N716" s="1"/>
      <c r="O716" s="1"/>
      <c r="P716" s="1"/>
      <c r="Q716" s="3"/>
    </row>
    <row r="717" spans="1:17" x14ac:dyDescent="0.25">
      <c r="B717" s="1"/>
      <c r="C717" s="1"/>
      <c r="D717" s="1"/>
      <c r="E717" s="1"/>
      <c r="F717" s="1"/>
      <c r="G717" s="1"/>
      <c r="H717" s="3"/>
      <c r="I717" s="1"/>
      <c r="J717" s="1"/>
      <c r="K717" s="1"/>
      <c r="L717" s="1"/>
      <c r="M717" s="1"/>
      <c r="N717" s="1"/>
      <c r="O717" s="1"/>
      <c r="P717" s="1"/>
      <c r="Q717" s="3"/>
    </row>
    <row r="718" spans="1:17" x14ac:dyDescent="0.25">
      <c r="B718" s="1"/>
      <c r="C718" s="1"/>
      <c r="D718" s="1"/>
      <c r="E718" s="1"/>
      <c r="F718" s="1"/>
      <c r="G718" s="8"/>
      <c r="H718" s="9"/>
      <c r="K718" s="1"/>
      <c r="L718" s="1"/>
      <c r="M718" s="1"/>
      <c r="N718" s="1"/>
      <c r="O718" s="1"/>
      <c r="P718" s="1"/>
      <c r="Q718" s="3"/>
    </row>
    <row r="719" spans="1:17" x14ac:dyDescent="0.25">
      <c r="B719" s="1"/>
      <c r="C719" s="1"/>
      <c r="D719" s="1"/>
      <c r="E719" s="1"/>
      <c r="F719" s="1"/>
      <c r="G719" s="1"/>
      <c r="H719" s="3"/>
      <c r="K719" s="1"/>
      <c r="L719" s="1"/>
      <c r="M719" s="1"/>
      <c r="N719" s="1"/>
      <c r="O719" s="1"/>
      <c r="P719" s="1"/>
      <c r="Q719" s="3"/>
    </row>
    <row r="720" spans="1:17" x14ac:dyDescent="0.25">
      <c r="K720" s="1"/>
      <c r="L720" s="1"/>
      <c r="M720" s="1"/>
      <c r="N720" s="1"/>
      <c r="O720" s="1"/>
      <c r="P720" s="1"/>
      <c r="Q720" s="3"/>
    </row>
    <row r="721" spans="2:18" x14ac:dyDescent="0.25">
      <c r="B721" s="1"/>
      <c r="C721" s="1"/>
      <c r="D721" s="1"/>
      <c r="E721" s="1"/>
      <c r="F721" s="1"/>
      <c r="G721" s="1"/>
      <c r="H721" s="3"/>
      <c r="I721" s="1"/>
      <c r="J721" s="1"/>
      <c r="K721" s="1"/>
      <c r="L721" s="1"/>
      <c r="M721" s="1"/>
      <c r="N721" s="1"/>
      <c r="O721" s="1"/>
      <c r="P721" s="1"/>
      <c r="Q721" s="3"/>
    </row>
    <row r="722" spans="2:18" x14ac:dyDescent="0.25">
      <c r="B722" s="1"/>
      <c r="C722" s="1"/>
      <c r="D722" s="1"/>
      <c r="E722" s="1"/>
      <c r="F722" s="1"/>
      <c r="G722" s="1"/>
      <c r="H722" s="3"/>
      <c r="K722" s="1"/>
      <c r="L722" s="1"/>
      <c r="M722" s="1"/>
      <c r="N722" s="1"/>
      <c r="O722" s="1"/>
      <c r="P722" s="1"/>
      <c r="Q722" s="3"/>
    </row>
    <row r="723" spans="2:18" x14ac:dyDescent="0.25">
      <c r="B723" s="1"/>
      <c r="C723" s="1"/>
      <c r="D723" s="1"/>
      <c r="E723" s="1"/>
      <c r="F723" s="1"/>
      <c r="G723" s="1"/>
      <c r="H723" s="3"/>
      <c r="K723" s="1"/>
      <c r="L723" s="1"/>
      <c r="M723" s="1"/>
      <c r="N723" s="1"/>
      <c r="O723" s="1"/>
      <c r="P723" s="1"/>
      <c r="Q723" s="3"/>
    </row>
    <row r="724" spans="2:18" x14ac:dyDescent="0.25">
      <c r="B724" s="1"/>
      <c r="C724" s="1"/>
      <c r="D724" s="1"/>
      <c r="E724" s="1"/>
      <c r="F724" s="1"/>
      <c r="G724" s="1"/>
      <c r="H724" s="3"/>
      <c r="I724" s="1"/>
      <c r="J724" s="1"/>
      <c r="K724" s="1"/>
      <c r="L724" s="1"/>
      <c r="M724" s="1"/>
      <c r="N724" s="1"/>
      <c r="O724" s="1"/>
      <c r="P724" s="1"/>
      <c r="Q724" s="3"/>
      <c r="R724" s="1"/>
    </row>
    <row r="725" spans="2:18" x14ac:dyDescent="0.25">
      <c r="B725" s="1"/>
      <c r="C725" s="1"/>
      <c r="D725" s="1"/>
      <c r="E725" s="1"/>
      <c r="F725" s="1"/>
      <c r="G725" s="8"/>
      <c r="H725" s="9"/>
      <c r="K725" s="1"/>
      <c r="L725" s="1"/>
      <c r="M725" s="1"/>
      <c r="N725" s="1"/>
      <c r="O725" s="1"/>
      <c r="P725" s="1"/>
      <c r="Q725" s="3"/>
    </row>
    <row r="726" spans="2:18" x14ac:dyDescent="0.25">
      <c r="B726" s="1"/>
      <c r="C726" s="1"/>
      <c r="D726" s="1"/>
      <c r="E726" s="1"/>
      <c r="F726" s="1"/>
      <c r="G726" s="8"/>
      <c r="H726" s="9"/>
      <c r="K726" s="1"/>
      <c r="L726" s="1"/>
      <c r="M726" s="1"/>
      <c r="N726" s="1"/>
      <c r="O726" s="1"/>
      <c r="P726" s="1"/>
      <c r="Q726" s="3"/>
    </row>
    <row r="727" spans="2:18" x14ac:dyDescent="0.25">
      <c r="B727" s="1"/>
      <c r="C727" s="1"/>
      <c r="D727" s="1"/>
      <c r="E727" s="1"/>
      <c r="F727" s="1"/>
      <c r="G727" s="1"/>
      <c r="H727" s="3"/>
      <c r="K727" s="1"/>
      <c r="L727" s="1"/>
      <c r="M727" s="1"/>
      <c r="N727" s="1"/>
      <c r="O727" s="1"/>
      <c r="P727" s="1"/>
      <c r="Q727" s="3"/>
    </row>
    <row r="728" spans="2:18" x14ac:dyDescent="0.25">
      <c r="B728" s="1"/>
      <c r="C728" s="1"/>
      <c r="D728" s="1"/>
      <c r="E728" s="1"/>
      <c r="F728" s="1"/>
      <c r="G728" s="1"/>
      <c r="H728" s="3"/>
      <c r="I728" s="1"/>
      <c r="J728" s="1"/>
      <c r="K728" s="1"/>
      <c r="L728" s="1"/>
      <c r="M728" s="1"/>
      <c r="N728" s="1"/>
      <c r="O728" s="1"/>
      <c r="P728" s="1"/>
      <c r="Q728" s="3"/>
    </row>
    <row r="729" spans="2:18" x14ac:dyDescent="0.25">
      <c r="B729" s="1"/>
      <c r="C729" s="1"/>
      <c r="D729" s="1"/>
      <c r="E729" s="1"/>
      <c r="F729" s="1"/>
      <c r="G729" s="1"/>
      <c r="H729" s="3"/>
      <c r="K729" s="1"/>
      <c r="L729" s="1"/>
      <c r="M729" s="1"/>
      <c r="N729" s="1"/>
      <c r="O729" s="1"/>
      <c r="P729" s="1"/>
      <c r="Q729" s="3"/>
    </row>
    <row r="730" spans="2:18" x14ac:dyDescent="0.25">
      <c r="B730" s="1"/>
      <c r="C730" s="1"/>
      <c r="D730" s="1"/>
      <c r="E730" s="1"/>
      <c r="F730" s="1"/>
      <c r="G730" s="1"/>
      <c r="H730" s="3"/>
      <c r="K730" s="1"/>
      <c r="L730" s="1"/>
      <c r="M730" s="1"/>
      <c r="N730" s="1"/>
      <c r="O730" s="1"/>
      <c r="P730" s="1"/>
      <c r="Q730" s="3"/>
    </row>
    <row r="731" spans="2:18" x14ac:dyDescent="0.25">
      <c r="K731" s="1"/>
      <c r="L731" s="1"/>
      <c r="M731" s="1"/>
      <c r="N731" s="1"/>
      <c r="O731" s="1"/>
      <c r="P731" s="1"/>
      <c r="Q731" s="3"/>
    </row>
    <row r="732" spans="2:18" x14ac:dyDescent="0.25">
      <c r="K732" s="1"/>
      <c r="L732" s="1"/>
      <c r="M732" s="1"/>
      <c r="N732" s="1"/>
      <c r="O732" s="1"/>
      <c r="P732" s="1"/>
      <c r="Q732" s="3"/>
    </row>
    <row r="733" spans="2:18" x14ac:dyDescent="0.25">
      <c r="B733" s="1"/>
      <c r="C733" s="1"/>
      <c r="D733" s="1"/>
      <c r="E733" s="1"/>
      <c r="F733" s="1"/>
      <c r="G733" s="1"/>
      <c r="H733" s="3"/>
      <c r="K733" s="1"/>
      <c r="L733" s="1"/>
      <c r="M733" s="1"/>
      <c r="N733" s="1"/>
      <c r="O733" s="1"/>
      <c r="P733" s="1"/>
      <c r="Q733" s="3"/>
    </row>
    <row r="734" spans="2:18" x14ac:dyDescent="0.25">
      <c r="B734" s="1"/>
      <c r="C734" s="1"/>
      <c r="D734" s="1"/>
      <c r="E734" s="1"/>
      <c r="F734" s="1"/>
      <c r="G734" s="1"/>
      <c r="H734" s="3"/>
      <c r="K734" s="1"/>
      <c r="L734" s="1"/>
      <c r="M734" s="1"/>
      <c r="N734" s="1"/>
      <c r="O734" s="1"/>
      <c r="P734" s="1"/>
      <c r="Q734" s="3"/>
    </row>
    <row r="735" spans="2:18" x14ac:dyDescent="0.25">
      <c r="B735" s="1"/>
      <c r="C735" s="1"/>
      <c r="D735" s="1"/>
      <c r="E735" s="1"/>
      <c r="F735" s="1"/>
      <c r="G735" s="1"/>
      <c r="H735" s="3"/>
      <c r="K735" s="1"/>
      <c r="L735" s="1"/>
      <c r="M735" s="1"/>
      <c r="N735" s="1"/>
      <c r="O735" s="1"/>
      <c r="P735" s="1"/>
      <c r="Q735" s="3"/>
    </row>
    <row r="736" spans="2:18" x14ac:dyDescent="0.25">
      <c r="B736" s="1"/>
      <c r="C736" s="1"/>
      <c r="D736" s="1"/>
      <c r="E736" s="1"/>
      <c r="F736" s="1"/>
      <c r="G736" s="1"/>
      <c r="H736" s="3"/>
      <c r="K736" s="1"/>
      <c r="L736" s="1"/>
      <c r="M736" s="1"/>
      <c r="N736" s="1"/>
      <c r="O736" s="1"/>
      <c r="P736" s="1"/>
      <c r="Q736" s="3"/>
    </row>
    <row r="737" spans="1:17" x14ac:dyDescent="0.25">
      <c r="B737" s="1"/>
      <c r="C737" s="1"/>
      <c r="D737" s="1"/>
      <c r="E737" s="1"/>
      <c r="F737" s="1"/>
      <c r="G737" s="1"/>
      <c r="H737" s="3"/>
      <c r="I737" s="1"/>
      <c r="J737" s="1"/>
      <c r="K737" s="1"/>
      <c r="L737" s="1"/>
      <c r="M737" s="1"/>
      <c r="N737" s="1"/>
      <c r="O737" s="1"/>
      <c r="P737" s="1"/>
      <c r="Q737" s="3"/>
    </row>
    <row r="738" spans="1:17" x14ac:dyDescent="0.25">
      <c r="B738" s="1"/>
      <c r="C738" s="1"/>
      <c r="D738" s="1"/>
      <c r="E738" s="1"/>
      <c r="F738" s="1"/>
      <c r="G738" s="8"/>
      <c r="H738" s="9"/>
      <c r="K738" s="1"/>
      <c r="L738" s="1"/>
      <c r="M738" s="1"/>
      <c r="N738" s="1"/>
      <c r="O738" s="1"/>
      <c r="P738" s="1"/>
      <c r="Q738" s="3"/>
    </row>
    <row r="739" spans="1:17" x14ac:dyDescent="0.25">
      <c r="B739" s="1"/>
      <c r="C739" s="1"/>
      <c r="D739" s="1"/>
      <c r="E739" s="1"/>
      <c r="F739" s="1"/>
      <c r="G739" s="1"/>
      <c r="H739" s="3"/>
      <c r="I739" s="1"/>
      <c r="J739" s="1"/>
      <c r="K739" s="1"/>
      <c r="L739" s="1"/>
      <c r="M739" s="1"/>
      <c r="N739" s="1"/>
      <c r="O739" s="1"/>
      <c r="P739" s="1"/>
      <c r="Q739" s="3"/>
    </row>
    <row r="740" spans="1:17" x14ac:dyDescent="0.25">
      <c r="K740" s="1"/>
      <c r="L740" s="1"/>
      <c r="M740" s="1"/>
      <c r="N740" s="1"/>
      <c r="O740" s="1"/>
      <c r="P740" s="1"/>
      <c r="Q740" s="3"/>
    </row>
    <row r="741" spans="1:17" x14ac:dyDescent="0.25">
      <c r="B741" s="1"/>
      <c r="C741" s="1"/>
      <c r="D741" s="1"/>
      <c r="E741" s="1"/>
      <c r="F741" s="1"/>
      <c r="G741" s="8"/>
      <c r="H741" s="9"/>
      <c r="K741" s="1"/>
      <c r="L741" s="1"/>
      <c r="M741" s="1"/>
      <c r="N741" s="1"/>
      <c r="O741" s="1"/>
      <c r="P741" s="1"/>
      <c r="Q741" s="3"/>
    </row>
    <row r="742" spans="1:17" x14ac:dyDescent="0.25">
      <c r="B742" s="1"/>
      <c r="C742" s="1"/>
      <c r="D742" s="1"/>
      <c r="E742" s="1"/>
      <c r="F742" s="1"/>
      <c r="G742" s="1"/>
      <c r="H742" s="3"/>
      <c r="I742" s="1"/>
      <c r="J742" s="1"/>
      <c r="K742" s="1"/>
      <c r="L742" s="1"/>
      <c r="M742" s="1"/>
      <c r="N742" s="1"/>
      <c r="O742" s="1"/>
      <c r="P742" s="1"/>
      <c r="Q742" s="3"/>
    </row>
    <row r="743" spans="1:17" x14ac:dyDescent="0.25">
      <c r="B743" s="1"/>
      <c r="C743" s="1"/>
      <c r="D743" s="1"/>
      <c r="E743" s="1"/>
      <c r="F743" s="1"/>
      <c r="G743" s="1"/>
      <c r="H743" s="3"/>
      <c r="I743" s="1"/>
      <c r="J743" s="1"/>
      <c r="K743" s="1"/>
      <c r="L743" s="1"/>
      <c r="M743" s="1"/>
      <c r="N743" s="1"/>
      <c r="O743" s="1"/>
      <c r="P743" s="1"/>
      <c r="Q743" s="3"/>
    </row>
    <row r="744" spans="1:17" x14ac:dyDescent="0.25">
      <c r="B744" s="1"/>
      <c r="C744" s="1"/>
      <c r="D744" s="1"/>
      <c r="E744" s="1"/>
      <c r="F744" s="1"/>
      <c r="G744" s="1"/>
      <c r="H744" s="3"/>
      <c r="I744" s="1"/>
      <c r="J744" s="1"/>
      <c r="K744" s="1"/>
      <c r="L744" s="1"/>
      <c r="M744" s="1"/>
      <c r="N744" s="1"/>
      <c r="O744" s="1"/>
      <c r="P744" s="1"/>
      <c r="Q744" s="3"/>
    </row>
    <row r="745" spans="1:17" x14ac:dyDescent="0.25">
      <c r="B745" s="1"/>
      <c r="C745" s="1"/>
      <c r="D745" s="1"/>
      <c r="E745" s="1"/>
      <c r="F745" s="1"/>
      <c r="G745" s="1"/>
      <c r="H745" s="3"/>
      <c r="K745" s="1"/>
      <c r="L745" s="1"/>
      <c r="M745" s="1"/>
      <c r="N745" s="1"/>
      <c r="O745" s="1"/>
      <c r="P745" s="1"/>
      <c r="Q745" s="3"/>
    </row>
    <row r="746" spans="1:17" x14ac:dyDescent="0.25">
      <c r="B746" s="1"/>
      <c r="C746" s="1"/>
      <c r="D746" s="1"/>
      <c r="E746" s="1"/>
      <c r="F746" s="1"/>
      <c r="G746" s="1"/>
      <c r="H746" s="3"/>
      <c r="K746" s="1"/>
      <c r="L746" s="1"/>
      <c r="M746" s="1"/>
      <c r="N746" s="1"/>
      <c r="O746" s="1"/>
      <c r="P746" s="1"/>
      <c r="Q746" s="3"/>
    </row>
    <row r="747" spans="1:17" x14ac:dyDescent="0.25">
      <c r="B747" s="1"/>
      <c r="C747" s="1"/>
      <c r="D747" s="1"/>
      <c r="E747" s="1"/>
      <c r="F747" s="1"/>
      <c r="G747" s="8"/>
      <c r="H747" s="9"/>
      <c r="K747" s="1"/>
      <c r="L747" s="1"/>
      <c r="M747" s="1"/>
      <c r="N747" s="1"/>
      <c r="O747" s="1"/>
      <c r="P747" s="1"/>
      <c r="Q747" s="3"/>
    </row>
    <row r="748" spans="1:17" x14ac:dyDescent="0.25">
      <c r="B748" s="1"/>
      <c r="C748" s="1"/>
      <c r="D748" s="1"/>
      <c r="E748" s="1"/>
      <c r="F748" s="1"/>
      <c r="G748" s="1"/>
      <c r="H748" s="3"/>
      <c r="K748" s="1"/>
      <c r="L748" s="1"/>
      <c r="M748" s="1"/>
      <c r="N748" s="1"/>
      <c r="O748" s="1"/>
      <c r="P748" s="1"/>
      <c r="Q748" s="3"/>
    </row>
    <row r="749" spans="1:17" x14ac:dyDescent="0.25">
      <c r="B749" s="1"/>
      <c r="C749" s="1"/>
      <c r="D749" s="1"/>
      <c r="E749" s="1"/>
      <c r="F749" s="1"/>
      <c r="G749" s="1"/>
      <c r="H749" s="3"/>
      <c r="I749" s="1"/>
      <c r="J749" s="1"/>
      <c r="K749" s="1"/>
      <c r="L749" s="1"/>
      <c r="M749" s="1"/>
      <c r="N749" s="1"/>
      <c r="O749" s="1"/>
      <c r="P749" s="1"/>
      <c r="Q749" s="3"/>
    </row>
    <row r="750" spans="1:17" x14ac:dyDescent="0.25">
      <c r="B750" s="1"/>
      <c r="C750" s="1"/>
      <c r="D750" s="1"/>
      <c r="E750" s="1"/>
      <c r="F750" s="1"/>
      <c r="G750" s="1"/>
      <c r="H750" s="3"/>
      <c r="K750" s="1"/>
      <c r="L750" s="1"/>
      <c r="M750" s="1"/>
      <c r="N750" s="1"/>
      <c r="O750" s="1"/>
      <c r="P750" s="1"/>
      <c r="Q750" s="3"/>
    </row>
    <row r="751" spans="1:17" x14ac:dyDescent="0.25">
      <c r="A751" s="7"/>
      <c r="B751" s="1"/>
      <c r="C751" s="1"/>
      <c r="D751" s="1"/>
      <c r="E751" s="1"/>
      <c r="F751" s="1"/>
      <c r="G751" s="1"/>
      <c r="H751" s="3"/>
      <c r="K751" s="10"/>
      <c r="L751" s="10"/>
      <c r="M751" s="10"/>
      <c r="N751" s="10"/>
      <c r="O751" s="10"/>
      <c r="P751" s="1"/>
      <c r="Q751" s="3"/>
    </row>
    <row r="752" spans="1:17" x14ac:dyDescent="0.25">
      <c r="B752" s="1"/>
      <c r="C752" s="1"/>
      <c r="D752" s="1"/>
      <c r="E752" s="1"/>
      <c r="F752" s="1"/>
      <c r="G752" s="1"/>
      <c r="H752" s="3"/>
      <c r="K752" s="1"/>
      <c r="L752" s="1"/>
      <c r="M752" s="1"/>
      <c r="N752" s="1"/>
      <c r="O752" s="1"/>
      <c r="P752" s="1"/>
      <c r="Q752" s="3"/>
    </row>
    <row r="753" spans="2:17" x14ac:dyDescent="0.25">
      <c r="B753" s="1"/>
      <c r="C753" s="1"/>
      <c r="D753" s="1"/>
      <c r="E753" s="1"/>
      <c r="F753" s="1"/>
      <c r="G753" s="1"/>
      <c r="H753" s="3"/>
      <c r="K753" s="1"/>
      <c r="L753" s="1"/>
      <c r="M753" s="1"/>
      <c r="N753" s="1"/>
      <c r="O753" s="1"/>
      <c r="P753" s="1"/>
      <c r="Q753" s="3"/>
    </row>
    <row r="754" spans="2:17" x14ac:dyDescent="0.25">
      <c r="B754" s="1"/>
      <c r="C754" s="1"/>
      <c r="D754" s="1"/>
      <c r="E754" s="1"/>
      <c r="F754" s="1"/>
      <c r="G754" s="1"/>
      <c r="H754" s="3"/>
      <c r="K754" s="1"/>
      <c r="L754" s="1"/>
      <c r="M754" s="1"/>
      <c r="N754" s="1"/>
      <c r="O754" s="1"/>
      <c r="P754" s="1"/>
      <c r="Q754" s="3"/>
    </row>
    <row r="755" spans="2:17" x14ac:dyDescent="0.25">
      <c r="B755" s="1"/>
      <c r="C755" s="1"/>
      <c r="D755" s="1"/>
      <c r="E755" s="1"/>
      <c r="F755" s="1"/>
      <c r="G755" s="1"/>
      <c r="H755" s="3"/>
      <c r="K755" s="1"/>
      <c r="L755" s="1"/>
      <c r="M755" s="1"/>
      <c r="N755" s="1"/>
      <c r="O755" s="1"/>
      <c r="P755" s="1"/>
      <c r="Q755" s="3"/>
    </row>
    <row r="756" spans="2:17" x14ac:dyDescent="0.25">
      <c r="B756" s="1"/>
      <c r="C756" s="1"/>
      <c r="D756" s="1"/>
      <c r="E756" s="1"/>
      <c r="F756" s="1"/>
      <c r="G756" s="1"/>
      <c r="H756" s="3"/>
      <c r="I756" s="1"/>
      <c r="J756" s="1"/>
      <c r="K756" s="1"/>
      <c r="L756" s="1"/>
      <c r="M756" s="1"/>
      <c r="N756" s="1"/>
      <c r="O756" s="1"/>
      <c r="P756" s="1"/>
      <c r="Q756" s="3"/>
    </row>
    <row r="757" spans="2:17" x14ac:dyDescent="0.25">
      <c r="B757" s="1"/>
      <c r="C757" s="1"/>
      <c r="D757" s="1"/>
      <c r="E757" s="1"/>
      <c r="F757" s="1"/>
      <c r="G757" s="1"/>
      <c r="H757" s="3"/>
      <c r="K757" s="1"/>
      <c r="L757" s="1"/>
      <c r="M757" s="1"/>
      <c r="N757" s="1"/>
      <c r="O757" s="1"/>
      <c r="P757" s="1"/>
      <c r="Q757" s="3"/>
    </row>
    <row r="758" spans="2:17" x14ac:dyDescent="0.25">
      <c r="B758" s="1"/>
      <c r="C758" s="1"/>
      <c r="D758" s="1"/>
      <c r="E758" s="1"/>
      <c r="F758" s="1"/>
      <c r="G758" s="1"/>
      <c r="H758" s="3"/>
      <c r="K758" s="1"/>
      <c r="L758" s="1"/>
      <c r="M758" s="1"/>
      <c r="N758" s="1"/>
      <c r="O758" s="1"/>
      <c r="P758" s="1"/>
      <c r="Q758" s="3"/>
    </row>
    <row r="759" spans="2:17" x14ac:dyDescent="0.25">
      <c r="B759" s="1"/>
      <c r="C759" s="1"/>
      <c r="D759" s="1"/>
      <c r="E759" s="1"/>
      <c r="F759" s="1"/>
      <c r="G759" s="1"/>
      <c r="H759" s="3"/>
      <c r="K759" s="1"/>
      <c r="L759" s="1"/>
      <c r="M759" s="1"/>
      <c r="N759" s="1"/>
      <c r="O759" s="1"/>
      <c r="P759" s="1"/>
      <c r="Q759" s="3"/>
    </row>
    <row r="760" spans="2:17" x14ac:dyDescent="0.25">
      <c r="B760" s="1"/>
      <c r="C760" s="1"/>
      <c r="D760" s="1"/>
      <c r="E760" s="1"/>
      <c r="F760" s="1"/>
      <c r="G760" s="1"/>
      <c r="H760" s="3"/>
      <c r="K760" s="1"/>
      <c r="L760" s="1"/>
      <c r="M760" s="1"/>
      <c r="N760" s="1"/>
      <c r="O760" s="1"/>
      <c r="P760" s="1"/>
      <c r="Q760" s="3"/>
    </row>
    <row r="761" spans="2:17" x14ac:dyDescent="0.25">
      <c r="B761" s="1"/>
      <c r="C761" s="1"/>
      <c r="D761" s="1"/>
      <c r="E761" s="1"/>
      <c r="F761" s="1"/>
      <c r="G761" s="8"/>
      <c r="H761" s="9"/>
      <c r="K761" s="1"/>
      <c r="L761" s="1"/>
      <c r="M761" s="1"/>
      <c r="N761" s="1"/>
      <c r="O761" s="1"/>
      <c r="P761" s="1"/>
      <c r="Q761" s="3"/>
    </row>
    <row r="762" spans="2:17" x14ac:dyDescent="0.25">
      <c r="B762" s="1"/>
      <c r="C762" s="1"/>
      <c r="D762" s="1"/>
      <c r="E762" s="1"/>
      <c r="F762" s="1"/>
      <c r="G762" s="1"/>
      <c r="H762" s="3"/>
      <c r="I762" s="1"/>
      <c r="J762" s="1"/>
      <c r="K762" s="1"/>
      <c r="L762" s="1"/>
      <c r="M762" s="1"/>
      <c r="N762" s="1"/>
      <c r="O762" s="1"/>
      <c r="P762" s="1"/>
      <c r="Q762" s="3"/>
    </row>
    <row r="763" spans="2:17" x14ac:dyDescent="0.25">
      <c r="B763" s="1"/>
      <c r="C763" s="1"/>
      <c r="D763" s="1"/>
      <c r="E763" s="1"/>
      <c r="F763" s="1"/>
      <c r="G763" s="1"/>
      <c r="H763" s="3"/>
      <c r="I763" s="1"/>
      <c r="J763" s="1"/>
      <c r="K763" s="1"/>
      <c r="L763" s="1"/>
      <c r="M763" s="1"/>
      <c r="N763" s="1"/>
      <c r="O763" s="1"/>
      <c r="P763" s="1"/>
      <c r="Q763" s="3"/>
    </row>
    <row r="764" spans="2:17" x14ac:dyDescent="0.25">
      <c r="B764" s="1"/>
      <c r="C764" s="1"/>
      <c r="D764" s="1"/>
      <c r="E764" s="1"/>
      <c r="F764" s="1"/>
      <c r="G764" s="1"/>
      <c r="H764" s="3"/>
      <c r="I764" s="1"/>
      <c r="J764" s="1"/>
      <c r="K764" s="1"/>
      <c r="L764" s="1"/>
      <c r="M764" s="1"/>
      <c r="N764" s="1"/>
      <c r="O764" s="1"/>
      <c r="P764" s="1"/>
      <c r="Q764" s="3"/>
    </row>
    <row r="765" spans="2:17" x14ac:dyDescent="0.25">
      <c r="B765" s="1"/>
      <c r="C765" s="1"/>
      <c r="D765" s="1"/>
      <c r="E765" s="1"/>
      <c r="F765" s="1"/>
      <c r="G765" s="1"/>
      <c r="H765" s="3"/>
      <c r="K765" s="1"/>
      <c r="L765" s="1"/>
      <c r="M765" s="1"/>
      <c r="N765" s="1"/>
      <c r="O765" s="1"/>
      <c r="P765" s="1"/>
      <c r="Q765" s="3"/>
    </row>
    <row r="766" spans="2:17" x14ac:dyDescent="0.25">
      <c r="B766" s="1"/>
      <c r="C766" s="1"/>
      <c r="D766" s="1"/>
      <c r="E766" s="1"/>
      <c r="F766" s="1"/>
      <c r="G766" s="1"/>
      <c r="H766" s="3"/>
      <c r="K766" s="1"/>
      <c r="L766" s="1"/>
      <c r="M766" s="1"/>
      <c r="N766" s="1"/>
      <c r="O766" s="1"/>
      <c r="P766" s="1"/>
      <c r="Q766" s="3"/>
    </row>
    <row r="767" spans="2:17" x14ac:dyDescent="0.25">
      <c r="B767" s="1"/>
      <c r="C767" s="1"/>
      <c r="D767" s="1"/>
      <c r="E767" s="1"/>
      <c r="F767" s="1"/>
      <c r="G767" s="1"/>
      <c r="H767" s="3"/>
      <c r="K767" s="1"/>
      <c r="L767" s="1"/>
      <c r="M767" s="1"/>
      <c r="N767" s="1"/>
      <c r="O767" s="1"/>
      <c r="P767" s="1"/>
      <c r="Q767" s="3"/>
    </row>
    <row r="768" spans="2:17" x14ac:dyDescent="0.25">
      <c r="B768" s="1"/>
      <c r="C768" s="1"/>
      <c r="D768" s="1"/>
      <c r="E768" s="1"/>
      <c r="F768" s="1"/>
      <c r="G768" s="1"/>
      <c r="H768" s="3"/>
      <c r="K768" s="1"/>
      <c r="L768" s="1"/>
      <c r="M768" s="1"/>
      <c r="N768" s="1"/>
      <c r="O768" s="1"/>
      <c r="P768" s="1"/>
      <c r="Q768" s="3"/>
    </row>
    <row r="769" spans="1:18" x14ac:dyDescent="0.25">
      <c r="B769" s="1"/>
      <c r="C769" s="1"/>
      <c r="D769" s="1"/>
      <c r="E769" s="1"/>
      <c r="F769" s="1"/>
      <c r="G769" s="1"/>
      <c r="H769" s="3"/>
      <c r="K769" s="1"/>
      <c r="L769" s="1"/>
      <c r="M769" s="1"/>
      <c r="N769" s="1"/>
      <c r="O769" s="1"/>
      <c r="P769" s="1"/>
      <c r="Q769" s="3"/>
    </row>
    <row r="770" spans="1:18" x14ac:dyDescent="0.25">
      <c r="B770" s="1"/>
      <c r="C770" s="1"/>
      <c r="D770" s="1"/>
      <c r="E770" s="1"/>
      <c r="F770" s="1"/>
      <c r="G770" s="1"/>
      <c r="H770" s="3"/>
      <c r="K770" s="1"/>
      <c r="L770" s="1"/>
      <c r="M770" s="1"/>
      <c r="N770" s="1"/>
      <c r="O770" s="1"/>
      <c r="P770" s="1"/>
      <c r="Q770" s="3"/>
    </row>
    <row r="771" spans="1:18" x14ac:dyDescent="0.25">
      <c r="B771" s="1"/>
      <c r="C771" s="1"/>
      <c r="D771" s="1"/>
      <c r="E771" s="1"/>
      <c r="F771" s="1"/>
      <c r="G771" s="1"/>
      <c r="H771" s="3"/>
      <c r="K771" s="1"/>
      <c r="L771" s="1"/>
      <c r="M771" s="1"/>
      <c r="N771" s="1"/>
      <c r="O771" s="1"/>
      <c r="P771" s="1"/>
      <c r="Q771" s="3"/>
    </row>
    <row r="772" spans="1:18" x14ac:dyDescent="0.25">
      <c r="B772" s="1"/>
      <c r="C772" s="1"/>
      <c r="D772" s="1"/>
      <c r="E772" s="1"/>
      <c r="F772" s="1"/>
      <c r="G772" s="1"/>
      <c r="H772" s="3"/>
      <c r="K772" s="1"/>
      <c r="L772" s="1"/>
      <c r="M772" s="1"/>
      <c r="N772" s="1"/>
      <c r="O772" s="1"/>
      <c r="P772" s="1"/>
      <c r="Q772" s="3"/>
    </row>
    <row r="773" spans="1:18" x14ac:dyDescent="0.25">
      <c r="K773" s="1"/>
      <c r="L773" s="1"/>
      <c r="M773" s="1"/>
      <c r="N773" s="1"/>
      <c r="O773" s="1"/>
      <c r="P773" s="1"/>
      <c r="Q773" s="3"/>
    </row>
    <row r="774" spans="1:18" x14ac:dyDescent="0.25">
      <c r="B774" s="1"/>
      <c r="C774" s="1"/>
      <c r="D774" s="1"/>
      <c r="E774" s="1"/>
      <c r="F774" s="1"/>
      <c r="G774" s="1"/>
      <c r="H774" s="3"/>
      <c r="I774" s="1"/>
      <c r="J774" s="1"/>
      <c r="K774" s="1"/>
      <c r="L774" s="1"/>
      <c r="M774" s="1"/>
      <c r="N774" s="1"/>
      <c r="O774" s="1"/>
      <c r="P774" s="1"/>
      <c r="Q774" s="3"/>
    </row>
    <row r="775" spans="1:18" x14ac:dyDescent="0.25">
      <c r="B775" s="1"/>
      <c r="C775" s="1"/>
      <c r="D775" s="1"/>
      <c r="E775" s="1"/>
      <c r="F775" s="1"/>
      <c r="G775" s="1"/>
      <c r="H775" s="3"/>
      <c r="K775" s="1"/>
      <c r="L775" s="1"/>
      <c r="M775" s="1"/>
      <c r="N775" s="1"/>
      <c r="O775" s="1"/>
      <c r="P775" s="1"/>
      <c r="Q775" s="3"/>
    </row>
    <row r="776" spans="1:18" x14ac:dyDescent="0.25">
      <c r="B776" s="1"/>
      <c r="C776" s="1"/>
      <c r="D776" s="1"/>
      <c r="E776" s="1"/>
      <c r="F776" s="1"/>
      <c r="G776" s="1"/>
      <c r="H776" s="3"/>
      <c r="I776" s="1"/>
      <c r="J776" s="1"/>
      <c r="K776" s="1"/>
      <c r="L776" s="1"/>
      <c r="M776" s="1"/>
      <c r="N776" s="1"/>
      <c r="O776" s="1"/>
      <c r="P776" s="1"/>
      <c r="Q776" s="3"/>
    </row>
    <row r="777" spans="1:18" x14ac:dyDescent="0.25">
      <c r="B777" s="1"/>
      <c r="C777" s="1"/>
      <c r="D777" s="1"/>
      <c r="E777" s="1"/>
      <c r="F777" s="1"/>
      <c r="G777" s="1"/>
      <c r="H777" s="3"/>
      <c r="K777" s="1"/>
      <c r="L777" s="1"/>
      <c r="M777" s="1"/>
      <c r="N777" s="1"/>
      <c r="O777" s="1"/>
      <c r="P777" s="1"/>
      <c r="Q777" s="3"/>
    </row>
    <row r="778" spans="1:18" x14ac:dyDescent="0.25">
      <c r="B778" s="1"/>
      <c r="C778" s="1"/>
      <c r="D778" s="1"/>
      <c r="E778" s="1"/>
      <c r="F778" s="1"/>
      <c r="G778" s="1"/>
      <c r="H778" s="3"/>
      <c r="I778" s="1"/>
      <c r="J778" s="1"/>
      <c r="K778" s="1"/>
      <c r="L778" s="1"/>
      <c r="M778" s="1"/>
      <c r="N778" s="1"/>
      <c r="O778" s="1"/>
      <c r="P778" s="1"/>
      <c r="Q778" s="3"/>
      <c r="R778" s="1"/>
    </row>
    <row r="779" spans="1:18" x14ac:dyDescent="0.25">
      <c r="B779" s="1"/>
      <c r="C779" s="1"/>
      <c r="D779" s="1"/>
      <c r="E779" s="1"/>
      <c r="F779" s="1"/>
      <c r="G779" s="1"/>
      <c r="H779" s="3"/>
      <c r="K779" s="1"/>
      <c r="L779" s="1"/>
      <c r="M779" s="1"/>
      <c r="N779" s="1"/>
      <c r="O779" s="1"/>
      <c r="P779" s="1"/>
      <c r="Q779" s="3"/>
    </row>
    <row r="780" spans="1:18" x14ac:dyDescent="0.25">
      <c r="B780" s="1"/>
      <c r="C780" s="1"/>
      <c r="D780" s="1"/>
      <c r="E780" s="1"/>
      <c r="F780" s="1"/>
      <c r="G780" s="1"/>
      <c r="H780" s="3"/>
      <c r="K780" s="1"/>
      <c r="L780" s="1"/>
      <c r="M780" s="1"/>
      <c r="N780" s="1"/>
      <c r="O780" s="1"/>
      <c r="P780" s="1"/>
      <c r="Q780" s="3"/>
    </row>
    <row r="781" spans="1:18" x14ac:dyDescent="0.25">
      <c r="B781" s="1"/>
      <c r="C781" s="1"/>
      <c r="D781" s="1"/>
      <c r="E781" s="1"/>
      <c r="F781" s="1"/>
      <c r="G781" s="1"/>
      <c r="H781" s="3"/>
      <c r="K781" s="1"/>
      <c r="L781" s="1"/>
      <c r="M781" s="1"/>
      <c r="N781" s="1"/>
      <c r="O781" s="1"/>
      <c r="P781" s="1"/>
      <c r="Q781" s="3"/>
    </row>
    <row r="782" spans="1:18" x14ac:dyDescent="0.25">
      <c r="A782" s="7"/>
      <c r="B782" s="1"/>
      <c r="C782" s="1"/>
      <c r="D782" s="1"/>
      <c r="E782" s="1"/>
      <c r="F782" s="1"/>
      <c r="G782" s="1"/>
      <c r="H782" s="3"/>
      <c r="K782" s="10"/>
      <c r="L782" s="10"/>
      <c r="M782" s="10"/>
      <c r="N782" s="10"/>
      <c r="O782" s="10"/>
      <c r="P782" s="1"/>
      <c r="Q782" s="3"/>
    </row>
    <row r="783" spans="1:18" x14ac:dyDescent="0.25">
      <c r="B783" s="1"/>
      <c r="C783" s="1"/>
      <c r="D783" s="1"/>
      <c r="E783" s="1"/>
      <c r="F783" s="1"/>
      <c r="G783" s="1"/>
      <c r="H783" s="3"/>
      <c r="K783" s="1"/>
      <c r="L783" s="1"/>
      <c r="M783" s="1"/>
      <c r="N783" s="1"/>
      <c r="O783" s="1"/>
      <c r="P783" s="1"/>
      <c r="Q783" s="3"/>
    </row>
    <row r="784" spans="1:18" x14ac:dyDescent="0.25">
      <c r="B784" s="1"/>
      <c r="C784" s="1"/>
      <c r="D784" s="1"/>
      <c r="E784" s="1"/>
      <c r="F784" s="1"/>
      <c r="G784" s="1"/>
      <c r="H784" s="3"/>
      <c r="K784" s="1"/>
      <c r="L784" s="1"/>
      <c r="M784" s="1"/>
      <c r="N784" s="1"/>
      <c r="O784" s="1"/>
      <c r="P784" s="1"/>
      <c r="Q784" s="3"/>
    </row>
    <row r="785" spans="1:18" x14ac:dyDescent="0.25">
      <c r="A785" s="7"/>
      <c r="B785" s="1"/>
      <c r="C785" s="1"/>
      <c r="D785" s="1"/>
      <c r="E785" s="1"/>
      <c r="F785" s="1"/>
      <c r="G785" s="1"/>
      <c r="H785" s="3"/>
      <c r="K785" s="10"/>
      <c r="L785" s="10"/>
      <c r="M785" s="10"/>
      <c r="N785" s="10"/>
      <c r="O785" s="10"/>
      <c r="P785" s="1"/>
      <c r="Q785" s="3"/>
    </row>
    <row r="786" spans="1:18" x14ac:dyDescent="0.25">
      <c r="B786" s="1"/>
      <c r="C786" s="1"/>
      <c r="D786" s="1"/>
      <c r="E786" s="1"/>
      <c r="F786" s="1"/>
      <c r="G786" s="1"/>
      <c r="H786" s="3"/>
      <c r="I786" s="1"/>
      <c r="J786" s="1"/>
      <c r="K786" s="1"/>
      <c r="L786" s="1"/>
      <c r="M786" s="1"/>
      <c r="N786" s="1"/>
      <c r="O786" s="1"/>
      <c r="P786" s="1"/>
      <c r="Q786" s="3"/>
      <c r="R786" s="1"/>
    </row>
    <row r="787" spans="1:18" x14ac:dyDescent="0.25">
      <c r="B787" s="1"/>
      <c r="C787" s="1"/>
      <c r="D787" s="1"/>
      <c r="E787" s="1"/>
      <c r="F787" s="1"/>
      <c r="G787" s="1"/>
      <c r="H787" s="3"/>
      <c r="I787" s="1"/>
      <c r="J787" s="1"/>
      <c r="K787" s="1"/>
      <c r="L787" s="1"/>
      <c r="M787" s="1"/>
      <c r="N787" s="1"/>
      <c r="O787" s="1"/>
      <c r="P787" s="1"/>
      <c r="Q787" s="3"/>
    </row>
    <row r="788" spans="1:18" x14ac:dyDescent="0.25">
      <c r="K788" s="1"/>
      <c r="L788" s="1"/>
      <c r="M788" s="1"/>
      <c r="N788" s="1"/>
      <c r="O788" s="1"/>
      <c r="P788" s="1"/>
      <c r="Q788" s="3"/>
    </row>
    <row r="789" spans="1:18" x14ac:dyDescent="0.25">
      <c r="B789" s="1"/>
      <c r="C789" s="1"/>
      <c r="D789" s="1"/>
      <c r="E789" s="1"/>
      <c r="F789" s="1"/>
      <c r="G789" s="1"/>
      <c r="H789" s="3"/>
      <c r="I789" s="1"/>
      <c r="J789" s="1"/>
      <c r="K789" s="1"/>
      <c r="L789" s="1"/>
      <c r="M789" s="1"/>
      <c r="N789" s="1"/>
      <c r="O789" s="1"/>
      <c r="P789" s="1"/>
      <c r="Q789" s="3"/>
    </row>
    <row r="790" spans="1:18" x14ac:dyDescent="0.25">
      <c r="B790" s="1"/>
      <c r="C790" s="1"/>
      <c r="D790" s="1"/>
      <c r="E790" s="1"/>
      <c r="F790" s="1"/>
      <c r="G790" s="1"/>
      <c r="H790" s="3"/>
      <c r="I790" s="1"/>
      <c r="J790" s="1"/>
      <c r="K790" s="1"/>
      <c r="L790" s="1"/>
      <c r="M790" s="1"/>
      <c r="N790" s="1"/>
      <c r="O790" s="1"/>
      <c r="P790" s="1"/>
      <c r="Q790" s="3"/>
      <c r="R790" s="1"/>
    </row>
    <row r="791" spans="1:18" x14ac:dyDescent="0.25">
      <c r="B791" s="1"/>
      <c r="C791" s="1"/>
      <c r="D791" s="1"/>
      <c r="E791" s="1"/>
      <c r="F791" s="1"/>
      <c r="G791" s="1"/>
      <c r="H791" s="3"/>
      <c r="K791" s="1"/>
      <c r="L791" s="1"/>
      <c r="M791" s="1"/>
      <c r="N791" s="1"/>
      <c r="O791" s="1"/>
      <c r="P791" s="1"/>
      <c r="Q791" s="3"/>
    </row>
    <row r="792" spans="1:18" x14ac:dyDescent="0.25">
      <c r="B792" s="1"/>
      <c r="C792" s="1"/>
      <c r="D792" s="1"/>
      <c r="E792" s="1"/>
      <c r="F792" s="1"/>
      <c r="G792" s="1"/>
      <c r="H792" s="3"/>
      <c r="K792" s="1"/>
      <c r="L792" s="1"/>
      <c r="M792" s="1"/>
      <c r="N792" s="1"/>
      <c r="O792" s="1"/>
      <c r="P792" s="1"/>
      <c r="Q792" s="3"/>
    </row>
    <row r="793" spans="1:18" x14ac:dyDescent="0.25">
      <c r="B793" s="1"/>
      <c r="C793" s="1"/>
      <c r="D793" s="1"/>
      <c r="E793" s="1"/>
      <c r="F793" s="1"/>
      <c r="G793" s="1"/>
      <c r="H793" s="3"/>
      <c r="K793" s="1"/>
      <c r="L793" s="1"/>
      <c r="M793" s="1"/>
      <c r="N793" s="1"/>
      <c r="O793" s="1"/>
      <c r="P793" s="1"/>
      <c r="Q793" s="3"/>
    </row>
    <row r="794" spans="1:18" x14ac:dyDescent="0.25">
      <c r="B794" s="1"/>
      <c r="C794" s="1"/>
      <c r="D794" s="1"/>
      <c r="E794" s="1"/>
      <c r="F794" s="1"/>
      <c r="G794" s="1"/>
      <c r="H794" s="3"/>
      <c r="K794" s="1"/>
      <c r="L794" s="1"/>
      <c r="M794" s="1"/>
      <c r="N794" s="1"/>
      <c r="O794" s="1"/>
      <c r="P794" s="1"/>
      <c r="Q794" s="3"/>
    </row>
    <row r="795" spans="1:18" x14ac:dyDescent="0.25">
      <c r="B795" s="1"/>
      <c r="C795" s="1"/>
      <c r="D795" s="1"/>
      <c r="E795" s="1"/>
      <c r="F795" s="1"/>
      <c r="G795" s="8"/>
      <c r="H795" s="9"/>
      <c r="K795" s="1"/>
      <c r="L795" s="1"/>
      <c r="M795" s="1"/>
      <c r="N795" s="1"/>
      <c r="O795" s="1"/>
      <c r="P795" s="1"/>
      <c r="Q795" s="3"/>
    </row>
    <row r="796" spans="1:18" x14ac:dyDescent="0.25">
      <c r="B796" s="1"/>
      <c r="C796" s="1"/>
      <c r="D796" s="1"/>
      <c r="E796" s="1"/>
      <c r="F796" s="1"/>
      <c r="G796" s="1"/>
      <c r="H796" s="3"/>
      <c r="K796" s="1"/>
      <c r="L796" s="1"/>
      <c r="M796" s="1"/>
      <c r="N796" s="1"/>
      <c r="O796" s="1"/>
      <c r="P796" s="1"/>
      <c r="Q796" s="3"/>
    </row>
    <row r="797" spans="1:18" x14ac:dyDescent="0.25">
      <c r="B797" s="1"/>
      <c r="C797" s="1"/>
      <c r="D797" s="1"/>
      <c r="E797" s="1"/>
      <c r="F797" s="1"/>
      <c r="G797" s="1"/>
      <c r="H797" s="3"/>
      <c r="K797" s="1"/>
      <c r="L797" s="1"/>
      <c r="M797" s="1"/>
      <c r="N797" s="1"/>
      <c r="O797" s="1"/>
      <c r="P797" s="1"/>
      <c r="Q797" s="3"/>
    </row>
    <row r="798" spans="1:18" x14ac:dyDescent="0.25">
      <c r="B798" s="1"/>
      <c r="C798" s="1"/>
      <c r="D798" s="1"/>
      <c r="E798" s="1"/>
      <c r="F798" s="1"/>
      <c r="G798" s="1"/>
      <c r="H798" s="3"/>
      <c r="K798" s="1"/>
      <c r="L798" s="1"/>
      <c r="M798" s="1"/>
      <c r="N798" s="1"/>
      <c r="O798" s="1"/>
      <c r="P798" s="1"/>
      <c r="Q798" s="3"/>
    </row>
    <row r="799" spans="1:18" x14ac:dyDescent="0.25">
      <c r="B799" s="1"/>
      <c r="C799" s="1"/>
      <c r="D799" s="1"/>
      <c r="E799" s="1"/>
      <c r="F799" s="1"/>
      <c r="G799" s="1"/>
      <c r="H799" s="3"/>
      <c r="K799" s="1"/>
      <c r="L799" s="1"/>
      <c r="M799" s="1"/>
      <c r="N799" s="1"/>
      <c r="O799" s="1"/>
      <c r="P799" s="1"/>
      <c r="Q799" s="3"/>
    </row>
    <row r="800" spans="1:18" x14ac:dyDescent="0.25">
      <c r="B800" s="1"/>
      <c r="C800" s="1"/>
      <c r="D800" s="1"/>
      <c r="E800" s="1"/>
      <c r="F800" s="1"/>
      <c r="G800" s="1"/>
      <c r="H800" s="3"/>
      <c r="K800" s="1"/>
      <c r="L800" s="1"/>
      <c r="M800" s="1"/>
      <c r="N800" s="1"/>
      <c r="O800" s="1"/>
      <c r="P800" s="1"/>
      <c r="Q800" s="3"/>
    </row>
    <row r="801" spans="2:18" x14ac:dyDescent="0.25">
      <c r="B801" s="1"/>
      <c r="C801" s="1"/>
      <c r="D801" s="1"/>
      <c r="E801" s="1"/>
      <c r="F801" s="1"/>
      <c r="G801" s="1"/>
      <c r="H801" s="3"/>
      <c r="K801" s="1"/>
      <c r="L801" s="1"/>
      <c r="M801" s="1"/>
      <c r="N801" s="1"/>
      <c r="O801" s="1"/>
      <c r="P801" s="1"/>
      <c r="Q801" s="3"/>
    </row>
    <row r="802" spans="2:18" x14ac:dyDescent="0.25">
      <c r="B802" s="1"/>
      <c r="C802" s="1"/>
      <c r="D802" s="1"/>
      <c r="E802" s="1"/>
      <c r="F802" s="1"/>
      <c r="G802" s="1"/>
      <c r="H802" s="3"/>
      <c r="K802" s="1"/>
      <c r="L802" s="1"/>
      <c r="M802" s="1"/>
      <c r="N802" s="1"/>
      <c r="O802" s="1"/>
      <c r="P802" s="1"/>
      <c r="Q802" s="3"/>
    </row>
    <row r="803" spans="2:18" x14ac:dyDescent="0.25">
      <c r="B803" s="1"/>
      <c r="C803" s="1"/>
      <c r="D803" s="1"/>
      <c r="E803" s="1"/>
      <c r="F803" s="1"/>
      <c r="G803" s="8"/>
      <c r="H803" s="9"/>
      <c r="K803" s="1"/>
      <c r="L803" s="1"/>
      <c r="M803" s="1"/>
      <c r="N803" s="1"/>
      <c r="O803" s="1"/>
      <c r="P803" s="1"/>
      <c r="Q803" s="3"/>
    </row>
    <row r="804" spans="2:18" x14ac:dyDescent="0.25">
      <c r="B804" s="1"/>
      <c r="C804" s="1"/>
      <c r="D804" s="1"/>
      <c r="E804" s="1"/>
      <c r="F804" s="1"/>
      <c r="G804" s="1"/>
      <c r="H804" s="3"/>
      <c r="I804" s="1"/>
      <c r="J804" s="1"/>
      <c r="K804" s="1"/>
      <c r="L804" s="1"/>
      <c r="M804" s="1"/>
      <c r="N804" s="1"/>
      <c r="O804" s="1"/>
      <c r="P804" s="1"/>
      <c r="Q804" s="3"/>
      <c r="R804" s="1"/>
    </row>
    <row r="805" spans="2:18" x14ac:dyDescent="0.25">
      <c r="B805" s="1"/>
      <c r="C805" s="1"/>
      <c r="D805" s="1"/>
      <c r="E805" s="1"/>
      <c r="F805" s="1"/>
      <c r="G805" s="1"/>
      <c r="H805" s="3"/>
      <c r="K805" s="1"/>
      <c r="L805" s="1"/>
      <c r="M805" s="1"/>
      <c r="N805" s="1"/>
      <c r="O805" s="1"/>
      <c r="P805" s="1"/>
      <c r="Q805" s="3"/>
    </row>
    <row r="806" spans="2:18" x14ac:dyDescent="0.25">
      <c r="B806" s="1"/>
      <c r="C806" s="1"/>
      <c r="D806" s="1"/>
      <c r="E806" s="1"/>
      <c r="F806" s="1"/>
      <c r="G806" s="1"/>
      <c r="H806" s="3"/>
      <c r="K806" s="1"/>
      <c r="L806" s="1"/>
      <c r="M806" s="1"/>
      <c r="N806" s="1"/>
      <c r="O806" s="1"/>
      <c r="P806" s="1"/>
      <c r="Q806" s="3"/>
    </row>
    <row r="807" spans="2:18" x14ac:dyDescent="0.25">
      <c r="B807" s="1"/>
      <c r="C807" s="1"/>
      <c r="D807" s="1"/>
      <c r="E807" s="1"/>
      <c r="F807" s="1"/>
      <c r="G807" s="1"/>
      <c r="H807" s="3"/>
      <c r="I807" s="1"/>
      <c r="J807" s="1"/>
      <c r="K807" s="1"/>
      <c r="L807" s="1"/>
      <c r="M807" s="1"/>
      <c r="N807" s="1"/>
      <c r="O807" s="1"/>
      <c r="P807" s="1"/>
      <c r="Q807" s="3"/>
    </row>
    <row r="808" spans="2:18" x14ac:dyDescent="0.25">
      <c r="B808" s="1"/>
      <c r="C808" s="1"/>
      <c r="D808" s="1"/>
      <c r="E808" s="1"/>
      <c r="F808" s="1"/>
      <c r="G808" s="1"/>
      <c r="H808" s="3"/>
      <c r="I808" s="1"/>
      <c r="J808" s="1"/>
      <c r="K808" s="1"/>
      <c r="L808" s="1"/>
      <c r="M808" s="1"/>
      <c r="N808" s="1"/>
      <c r="O808" s="1"/>
      <c r="P808" s="1"/>
      <c r="Q808" s="3"/>
      <c r="R808" s="1"/>
    </row>
    <row r="809" spans="2:18" x14ac:dyDescent="0.25">
      <c r="B809" s="1"/>
      <c r="C809" s="1"/>
      <c r="D809" s="1"/>
      <c r="E809" s="1"/>
      <c r="F809" s="1"/>
      <c r="G809" s="1"/>
      <c r="H809" s="3"/>
      <c r="K809" s="1"/>
      <c r="L809" s="1"/>
      <c r="M809" s="1"/>
      <c r="N809" s="1"/>
      <c r="O809" s="1"/>
      <c r="P809" s="1"/>
      <c r="Q809" s="3"/>
    </row>
    <row r="810" spans="2:18" x14ac:dyDescent="0.25">
      <c r="B810" s="1"/>
      <c r="C810" s="1"/>
      <c r="D810" s="1"/>
      <c r="E810" s="1"/>
      <c r="F810" s="1"/>
      <c r="G810" s="1"/>
      <c r="H810" s="3"/>
      <c r="K810" s="1"/>
      <c r="L810" s="1"/>
      <c r="M810" s="1"/>
      <c r="N810" s="1"/>
      <c r="O810" s="1"/>
      <c r="P810" s="1"/>
      <c r="Q810" s="3"/>
    </row>
    <row r="811" spans="2:18" x14ac:dyDescent="0.25">
      <c r="B811" s="1"/>
      <c r="C811" s="1"/>
      <c r="D811" s="1"/>
      <c r="E811" s="1"/>
      <c r="F811" s="1"/>
      <c r="G811" s="1"/>
      <c r="H811" s="3"/>
      <c r="K811" s="1"/>
      <c r="L811" s="1"/>
      <c r="M811" s="1"/>
      <c r="N811" s="1"/>
      <c r="O811" s="1"/>
      <c r="P811" s="1"/>
      <c r="Q811" s="3"/>
    </row>
    <row r="812" spans="2:18" x14ac:dyDescent="0.25">
      <c r="B812" s="1"/>
      <c r="C812" s="1"/>
      <c r="D812" s="1"/>
      <c r="E812" s="1"/>
      <c r="F812" s="1"/>
      <c r="G812" s="1"/>
      <c r="H812" s="3"/>
      <c r="K812" s="1"/>
      <c r="L812" s="1"/>
      <c r="M812" s="1"/>
      <c r="N812" s="1"/>
      <c r="O812" s="1"/>
      <c r="P812" s="1"/>
      <c r="Q812" s="3"/>
    </row>
    <row r="813" spans="2:18" x14ac:dyDescent="0.25">
      <c r="B813" s="1"/>
      <c r="C813" s="1"/>
      <c r="D813" s="1"/>
      <c r="E813" s="1"/>
      <c r="F813" s="1"/>
      <c r="G813" s="1"/>
      <c r="H813" s="3"/>
      <c r="K813" s="1"/>
      <c r="L813" s="1"/>
      <c r="M813" s="1"/>
      <c r="N813" s="1"/>
      <c r="O813" s="1"/>
      <c r="P813" s="1"/>
      <c r="Q813" s="3"/>
    </row>
    <row r="814" spans="2:18" x14ac:dyDescent="0.25">
      <c r="K814" s="1"/>
      <c r="L814" s="1"/>
      <c r="M814" s="1"/>
      <c r="N814" s="1"/>
      <c r="O814" s="1"/>
      <c r="P814" s="1"/>
      <c r="Q814" s="3"/>
    </row>
    <row r="815" spans="2:18" x14ac:dyDescent="0.25">
      <c r="B815" s="1"/>
      <c r="C815" s="1"/>
      <c r="D815" s="1"/>
      <c r="E815" s="1"/>
      <c r="F815" s="1"/>
      <c r="G815" s="1"/>
      <c r="H815" s="3"/>
      <c r="I815" s="1"/>
      <c r="J815" s="1"/>
      <c r="K815" s="1"/>
      <c r="L815" s="1"/>
      <c r="M815" s="1"/>
      <c r="N815" s="1"/>
      <c r="O815" s="1"/>
      <c r="P815" s="1"/>
      <c r="Q815" s="3"/>
    </row>
    <row r="816" spans="2:18" x14ac:dyDescent="0.25">
      <c r="B816" s="1"/>
      <c r="C816" s="1"/>
      <c r="D816" s="1"/>
      <c r="E816" s="1"/>
      <c r="F816" s="1"/>
      <c r="G816" s="1"/>
      <c r="H816" s="3"/>
      <c r="K816" s="1"/>
      <c r="L816" s="1"/>
      <c r="M816" s="1"/>
      <c r="N816" s="1"/>
      <c r="O816" s="1"/>
      <c r="P816" s="1"/>
      <c r="Q816" s="3"/>
    </row>
    <row r="817" spans="2:18" x14ac:dyDescent="0.25">
      <c r="B817" s="1"/>
      <c r="C817" s="1"/>
      <c r="D817" s="1"/>
      <c r="E817" s="1"/>
      <c r="F817" s="1"/>
      <c r="G817" s="1"/>
      <c r="H817" s="3"/>
      <c r="K817" s="1"/>
      <c r="L817" s="1"/>
      <c r="M817" s="1"/>
      <c r="N817" s="1"/>
      <c r="O817" s="1"/>
      <c r="P817" s="1"/>
      <c r="Q817" s="3"/>
    </row>
    <row r="818" spans="2:18" x14ac:dyDescent="0.25">
      <c r="B818" s="1"/>
      <c r="C818" s="1"/>
      <c r="D818" s="1"/>
      <c r="E818" s="1"/>
      <c r="F818" s="1"/>
      <c r="G818" s="1"/>
      <c r="H818" s="3"/>
      <c r="K818" s="1"/>
      <c r="L818" s="1"/>
      <c r="M818" s="1"/>
      <c r="N818" s="1"/>
      <c r="O818" s="1"/>
      <c r="P818" s="1"/>
      <c r="Q818" s="3"/>
    </row>
    <row r="819" spans="2:18" x14ac:dyDescent="0.25">
      <c r="B819" s="1"/>
      <c r="C819" s="1"/>
      <c r="D819" s="1"/>
      <c r="E819" s="1"/>
      <c r="F819" s="1"/>
      <c r="G819" s="1"/>
      <c r="H819" s="3"/>
      <c r="I819" s="1"/>
      <c r="J819" s="1"/>
      <c r="K819" s="1"/>
      <c r="L819" s="1"/>
      <c r="M819" s="1"/>
      <c r="N819" s="1"/>
      <c r="O819" s="1"/>
      <c r="P819" s="1"/>
      <c r="Q819" s="3"/>
    </row>
    <row r="820" spans="2:18" x14ac:dyDescent="0.25">
      <c r="B820" s="1"/>
      <c r="C820" s="1"/>
      <c r="D820" s="1"/>
      <c r="E820" s="1"/>
      <c r="F820" s="1"/>
      <c r="G820" s="1"/>
      <c r="H820" s="3"/>
      <c r="K820" s="1"/>
      <c r="L820" s="1"/>
      <c r="M820" s="1"/>
      <c r="N820" s="1"/>
      <c r="O820" s="1"/>
      <c r="P820" s="1"/>
      <c r="Q820" s="3"/>
    </row>
    <row r="821" spans="2:18" x14ac:dyDescent="0.25">
      <c r="B821" s="1"/>
      <c r="C821" s="1"/>
      <c r="D821" s="1"/>
      <c r="E821" s="1"/>
      <c r="F821" s="1"/>
      <c r="G821" s="1"/>
      <c r="H821" s="3"/>
      <c r="K821" s="1"/>
      <c r="L821" s="1"/>
      <c r="M821" s="1"/>
      <c r="N821" s="1"/>
      <c r="O821" s="1"/>
      <c r="P821" s="1"/>
      <c r="Q821" s="3"/>
    </row>
    <row r="822" spans="2:18" x14ac:dyDescent="0.25">
      <c r="B822" s="1"/>
      <c r="C822" s="1"/>
      <c r="D822" s="1"/>
      <c r="E822" s="1"/>
      <c r="F822" s="1"/>
      <c r="G822" s="1"/>
      <c r="H822" s="3"/>
      <c r="K822" s="1"/>
      <c r="L822" s="1"/>
      <c r="M822" s="1"/>
      <c r="N822" s="1"/>
      <c r="O822" s="1"/>
      <c r="P822" s="1"/>
      <c r="Q822" s="3"/>
    </row>
    <row r="823" spans="2:18" x14ac:dyDescent="0.25">
      <c r="B823" s="1"/>
      <c r="C823" s="1"/>
      <c r="D823" s="1"/>
      <c r="E823" s="1"/>
      <c r="F823" s="1"/>
      <c r="G823" s="1"/>
      <c r="H823" s="3"/>
      <c r="K823" s="1"/>
      <c r="L823" s="1"/>
      <c r="M823" s="1"/>
      <c r="N823" s="1"/>
      <c r="O823" s="1"/>
      <c r="P823" s="1"/>
      <c r="Q823" s="3"/>
    </row>
    <row r="824" spans="2:18" x14ac:dyDescent="0.25">
      <c r="B824" s="1"/>
      <c r="C824" s="1"/>
      <c r="D824" s="1"/>
      <c r="E824" s="1"/>
      <c r="F824" s="1"/>
      <c r="G824" s="1"/>
      <c r="H824" s="3"/>
      <c r="I824" s="1"/>
      <c r="J824" s="1"/>
      <c r="K824" s="1"/>
      <c r="L824" s="1"/>
      <c r="M824" s="1"/>
      <c r="N824" s="1"/>
      <c r="O824" s="1"/>
      <c r="P824" s="1"/>
      <c r="Q824" s="3"/>
    </row>
    <row r="825" spans="2:18" x14ac:dyDescent="0.25">
      <c r="B825" s="1"/>
      <c r="C825" s="1"/>
      <c r="D825" s="1"/>
      <c r="E825" s="1"/>
      <c r="F825" s="1"/>
      <c r="G825" s="1"/>
      <c r="H825" s="3"/>
      <c r="I825" s="1"/>
      <c r="J825" s="1"/>
      <c r="K825" s="1"/>
      <c r="L825" s="1"/>
      <c r="M825" s="1"/>
      <c r="N825" s="1"/>
      <c r="O825" s="1"/>
      <c r="P825" s="1"/>
      <c r="Q825" s="3"/>
      <c r="R825" s="1"/>
    </row>
    <row r="826" spans="2:18" x14ac:dyDescent="0.25">
      <c r="B826" s="1"/>
      <c r="C826" s="1"/>
      <c r="D826" s="1"/>
      <c r="E826" s="1"/>
      <c r="F826" s="1"/>
      <c r="G826" s="1"/>
      <c r="H826" s="3"/>
      <c r="K826" s="1"/>
      <c r="L826" s="1"/>
      <c r="M826" s="1"/>
      <c r="N826" s="1"/>
      <c r="O826" s="1"/>
      <c r="P826" s="1"/>
      <c r="Q826" s="3"/>
    </row>
    <row r="827" spans="2:18" x14ac:dyDescent="0.25">
      <c r="B827" s="1"/>
      <c r="C827" s="1"/>
      <c r="D827" s="1"/>
      <c r="E827" s="1"/>
      <c r="F827" s="1"/>
      <c r="G827" s="1"/>
      <c r="H827" s="3"/>
      <c r="K827" s="1"/>
      <c r="L827" s="1"/>
      <c r="M827" s="1"/>
      <c r="N827" s="1"/>
      <c r="O827" s="1"/>
      <c r="P827" s="1"/>
      <c r="Q827" s="3"/>
    </row>
    <row r="828" spans="2:18" x14ac:dyDescent="0.25">
      <c r="B828" s="1"/>
      <c r="C828" s="1"/>
      <c r="D828" s="1"/>
      <c r="E828" s="1"/>
      <c r="F828" s="1"/>
      <c r="G828" s="1"/>
      <c r="H828" s="3"/>
      <c r="K828" s="1"/>
      <c r="L828" s="1"/>
      <c r="M828" s="1"/>
      <c r="N828" s="1"/>
      <c r="O828" s="1"/>
      <c r="P828" s="1"/>
      <c r="Q828" s="3"/>
    </row>
    <row r="829" spans="2:18" x14ac:dyDescent="0.25">
      <c r="B829" s="1"/>
      <c r="C829" s="1"/>
      <c r="D829" s="1"/>
      <c r="E829" s="1"/>
      <c r="F829" s="1"/>
      <c r="G829" s="1"/>
      <c r="H829" s="3"/>
      <c r="K829" s="1"/>
      <c r="L829" s="1"/>
      <c r="M829" s="1"/>
      <c r="N829" s="1"/>
      <c r="O829" s="1"/>
      <c r="P829" s="1"/>
      <c r="Q829" s="3"/>
    </row>
    <row r="830" spans="2:18" x14ac:dyDescent="0.25">
      <c r="B830" s="1"/>
      <c r="C830" s="1"/>
      <c r="D830" s="1"/>
      <c r="E830" s="1"/>
      <c r="F830" s="1"/>
      <c r="G830" s="1"/>
      <c r="H830" s="3"/>
      <c r="I830" s="1"/>
      <c r="J830" s="1"/>
      <c r="K830" s="1"/>
      <c r="L830" s="1"/>
      <c r="M830" s="1"/>
      <c r="N830" s="1"/>
      <c r="O830" s="1"/>
      <c r="P830" s="1"/>
      <c r="Q830" s="3"/>
    </row>
    <row r="831" spans="2:18" x14ac:dyDescent="0.25">
      <c r="B831" s="1"/>
      <c r="C831" s="1"/>
      <c r="D831" s="1"/>
      <c r="E831" s="1"/>
      <c r="F831" s="1"/>
      <c r="G831" s="1"/>
      <c r="H831" s="3"/>
      <c r="I831" s="1"/>
      <c r="J831" s="1"/>
      <c r="K831" s="1"/>
      <c r="L831" s="1"/>
      <c r="M831" s="1"/>
      <c r="N831" s="1"/>
      <c r="O831" s="1"/>
      <c r="P831" s="1"/>
      <c r="Q831" s="3"/>
    </row>
    <row r="832" spans="2:18" x14ac:dyDescent="0.25">
      <c r="B832" s="1"/>
      <c r="C832" s="1"/>
      <c r="D832" s="1"/>
      <c r="E832" s="1"/>
      <c r="F832" s="1"/>
      <c r="G832" s="1"/>
      <c r="H832" s="3"/>
      <c r="K832" s="1"/>
      <c r="L832" s="1"/>
      <c r="M832" s="1"/>
      <c r="N832" s="1"/>
      <c r="O832" s="1"/>
      <c r="P832" s="1"/>
      <c r="Q832" s="3"/>
    </row>
    <row r="833" spans="1:17" x14ac:dyDescent="0.25">
      <c r="B833" s="1"/>
      <c r="C833" s="1"/>
      <c r="D833" s="1"/>
      <c r="E833" s="1"/>
      <c r="F833" s="1"/>
      <c r="G833" s="1"/>
      <c r="H833" s="3"/>
      <c r="K833" s="1"/>
      <c r="L833" s="1"/>
      <c r="M833" s="1"/>
      <c r="N833" s="1"/>
      <c r="O833" s="1"/>
      <c r="P833" s="1"/>
      <c r="Q833" s="3"/>
    </row>
    <row r="834" spans="1:17" x14ac:dyDescent="0.25">
      <c r="B834" s="1"/>
      <c r="C834" s="1"/>
      <c r="D834" s="1"/>
      <c r="E834" s="1"/>
      <c r="F834" s="1"/>
      <c r="G834" s="1"/>
      <c r="H834" s="3"/>
      <c r="K834" s="1"/>
      <c r="L834" s="1"/>
      <c r="M834" s="1"/>
      <c r="N834" s="1"/>
      <c r="O834" s="1"/>
      <c r="P834" s="1"/>
      <c r="Q834" s="3"/>
    </row>
    <row r="835" spans="1:17" x14ac:dyDescent="0.25">
      <c r="K835" s="1"/>
      <c r="L835" s="1"/>
      <c r="M835" s="1"/>
      <c r="N835" s="1"/>
      <c r="O835" s="1"/>
      <c r="P835" s="1"/>
      <c r="Q835" s="3"/>
    </row>
    <row r="836" spans="1:17" x14ac:dyDescent="0.25">
      <c r="B836" s="1"/>
      <c r="C836" s="1"/>
      <c r="D836" s="1"/>
      <c r="E836" s="1"/>
      <c r="F836" s="1"/>
      <c r="G836" s="1"/>
      <c r="H836" s="3"/>
      <c r="K836" s="1"/>
      <c r="L836" s="1"/>
      <c r="M836" s="1"/>
      <c r="N836" s="1"/>
      <c r="O836" s="1"/>
      <c r="P836" s="1"/>
      <c r="Q836" s="3"/>
    </row>
    <row r="837" spans="1:17" x14ac:dyDescent="0.25">
      <c r="B837" s="1"/>
      <c r="C837" s="1"/>
      <c r="D837" s="1"/>
      <c r="E837" s="1"/>
      <c r="F837" s="1"/>
      <c r="G837" s="1"/>
      <c r="H837" s="3"/>
      <c r="I837" s="1"/>
      <c r="J837" s="1"/>
      <c r="K837" s="1"/>
      <c r="L837" s="1"/>
      <c r="M837" s="1"/>
      <c r="N837" s="1"/>
      <c r="O837" s="1"/>
      <c r="P837" s="1"/>
      <c r="Q837" s="3"/>
    </row>
    <row r="838" spans="1:17" x14ac:dyDescent="0.25">
      <c r="B838" s="1"/>
      <c r="C838" s="1"/>
      <c r="D838" s="1"/>
      <c r="E838" s="1"/>
      <c r="F838" s="1"/>
      <c r="G838" s="1"/>
      <c r="H838" s="3"/>
      <c r="K838" s="1"/>
      <c r="L838" s="1"/>
      <c r="M838" s="1"/>
      <c r="N838" s="1"/>
      <c r="O838" s="1"/>
      <c r="P838" s="1"/>
      <c r="Q838" s="3"/>
    </row>
    <row r="839" spans="1:17" x14ac:dyDescent="0.25">
      <c r="B839" s="1"/>
      <c r="C839" s="1"/>
      <c r="D839" s="1"/>
      <c r="E839" s="1"/>
      <c r="F839" s="1"/>
      <c r="G839" s="1"/>
      <c r="H839" s="3"/>
      <c r="K839" s="1"/>
      <c r="L839" s="1"/>
      <c r="M839" s="1"/>
      <c r="N839" s="1"/>
      <c r="O839" s="1"/>
      <c r="P839" s="1"/>
      <c r="Q839" s="3"/>
    </row>
    <row r="840" spans="1:17" x14ac:dyDescent="0.25">
      <c r="K840" s="1"/>
      <c r="L840" s="1"/>
      <c r="M840" s="1"/>
      <c r="N840" s="1"/>
      <c r="O840" s="1"/>
      <c r="P840" s="1"/>
      <c r="Q840" s="3"/>
    </row>
    <row r="841" spans="1:17" x14ac:dyDescent="0.25">
      <c r="A841" s="7"/>
      <c r="B841" s="1"/>
      <c r="C841" s="1"/>
      <c r="D841" s="1"/>
      <c r="E841" s="1"/>
      <c r="F841" s="1"/>
      <c r="G841" s="1"/>
      <c r="H841" s="3"/>
      <c r="K841" s="10"/>
      <c r="L841" s="10"/>
      <c r="M841" s="10"/>
      <c r="N841" s="10"/>
      <c r="O841" s="10"/>
      <c r="P841" s="1"/>
      <c r="Q841" s="3"/>
    </row>
    <row r="842" spans="1:17" x14ac:dyDescent="0.25">
      <c r="B842" s="1"/>
      <c r="C842" s="1"/>
      <c r="D842" s="1"/>
      <c r="E842" s="1"/>
      <c r="F842" s="1"/>
      <c r="G842" s="1"/>
      <c r="H842" s="3"/>
      <c r="K842" s="1"/>
      <c r="L842" s="1"/>
      <c r="M842" s="1"/>
      <c r="N842" s="1"/>
      <c r="O842" s="1"/>
      <c r="P842" s="1"/>
      <c r="Q842" s="3"/>
    </row>
    <row r="843" spans="1:17" x14ac:dyDescent="0.25">
      <c r="B843" s="1"/>
      <c r="C843" s="1"/>
      <c r="D843" s="1"/>
      <c r="E843" s="1"/>
      <c r="F843" s="1"/>
      <c r="G843" s="1"/>
      <c r="H843" s="3"/>
      <c r="K843" s="1"/>
      <c r="L843" s="1"/>
      <c r="M843" s="1"/>
      <c r="N843" s="1"/>
      <c r="O843" s="1"/>
      <c r="P843" s="1"/>
      <c r="Q843" s="3"/>
    </row>
    <row r="844" spans="1:17" x14ac:dyDescent="0.25">
      <c r="B844" s="1"/>
      <c r="C844" s="1"/>
      <c r="D844" s="1"/>
      <c r="E844" s="1"/>
      <c r="F844" s="1"/>
      <c r="G844" s="1"/>
      <c r="H844" s="3"/>
      <c r="K844" s="1"/>
      <c r="L844" s="1"/>
      <c r="M844" s="1"/>
      <c r="N844" s="1"/>
      <c r="O844" s="1"/>
      <c r="P844" s="1"/>
      <c r="Q844" s="3"/>
    </row>
    <row r="845" spans="1:17" x14ac:dyDescent="0.25">
      <c r="B845" s="1"/>
      <c r="C845" s="1"/>
      <c r="D845" s="1"/>
      <c r="E845" s="1"/>
      <c r="F845" s="1"/>
      <c r="G845" s="1"/>
      <c r="H845" s="3"/>
      <c r="I845" s="1"/>
      <c r="J845" s="1"/>
      <c r="K845" s="1"/>
      <c r="L845" s="1"/>
      <c r="M845" s="1"/>
      <c r="N845" s="1"/>
      <c r="O845" s="1"/>
      <c r="P845" s="1"/>
      <c r="Q845" s="3"/>
    </row>
    <row r="846" spans="1:17" x14ac:dyDescent="0.25">
      <c r="B846" s="1"/>
      <c r="C846" s="1"/>
      <c r="D846" s="1"/>
      <c r="E846" s="1"/>
      <c r="F846" s="1"/>
      <c r="G846" s="1"/>
      <c r="H846" s="3"/>
      <c r="K846" s="1"/>
      <c r="L846" s="1"/>
      <c r="M846" s="1"/>
      <c r="N846" s="1"/>
      <c r="O846" s="1"/>
      <c r="P846" s="1"/>
      <c r="Q846" s="3"/>
    </row>
    <row r="847" spans="1:17" x14ac:dyDescent="0.25">
      <c r="B847" s="1"/>
      <c r="C847" s="1"/>
      <c r="D847" s="1"/>
      <c r="E847" s="1"/>
      <c r="F847" s="1"/>
      <c r="G847" s="1"/>
      <c r="H847" s="3"/>
      <c r="K847" s="1"/>
      <c r="L847" s="1"/>
      <c r="M847" s="1"/>
      <c r="N847" s="1"/>
      <c r="O847" s="1"/>
      <c r="P847" s="1"/>
      <c r="Q847" s="3"/>
    </row>
    <row r="848" spans="1:17" x14ac:dyDescent="0.25">
      <c r="B848" s="1"/>
      <c r="C848" s="1"/>
      <c r="D848" s="1"/>
      <c r="E848" s="1"/>
      <c r="F848" s="1"/>
      <c r="G848" s="1"/>
      <c r="H848" s="3"/>
      <c r="I848" s="1"/>
      <c r="J848" s="1"/>
      <c r="K848" s="1"/>
      <c r="L848" s="1"/>
      <c r="M848" s="1"/>
      <c r="N848" s="1"/>
      <c r="O848" s="1"/>
      <c r="P848" s="1"/>
      <c r="Q848" s="3"/>
    </row>
    <row r="849" spans="1:18" x14ac:dyDescent="0.25">
      <c r="B849" s="1"/>
      <c r="C849" s="1"/>
      <c r="D849" s="1"/>
      <c r="E849" s="1"/>
      <c r="F849" s="1"/>
      <c r="G849" s="1"/>
      <c r="H849" s="3"/>
      <c r="K849" s="1"/>
      <c r="L849" s="1"/>
      <c r="M849" s="1"/>
      <c r="N849" s="1"/>
      <c r="O849" s="1"/>
      <c r="P849" s="1"/>
      <c r="Q849" s="3"/>
    </row>
    <row r="850" spans="1:18" x14ac:dyDescent="0.25">
      <c r="B850" s="1"/>
      <c r="C850" s="1"/>
      <c r="D850" s="1"/>
      <c r="E850" s="1"/>
      <c r="F850" s="1"/>
      <c r="G850" s="1"/>
      <c r="H850" s="3"/>
      <c r="I850" s="1"/>
      <c r="J850" s="1"/>
      <c r="K850" s="1"/>
      <c r="L850" s="1"/>
      <c r="M850" s="1"/>
      <c r="N850" s="1"/>
      <c r="O850" s="1"/>
      <c r="P850" s="1"/>
      <c r="Q850" s="3"/>
      <c r="R850" s="1"/>
    </row>
    <row r="851" spans="1:18" x14ac:dyDescent="0.25">
      <c r="B851" s="1"/>
      <c r="C851" s="1"/>
      <c r="D851" s="1"/>
      <c r="E851" s="1"/>
      <c r="F851" s="1"/>
      <c r="G851" s="1"/>
      <c r="H851" s="3"/>
      <c r="K851" s="1"/>
      <c r="L851" s="1"/>
      <c r="M851" s="1"/>
      <c r="N851" s="1"/>
      <c r="O851" s="1"/>
      <c r="P851" s="1"/>
      <c r="Q851" s="3"/>
    </row>
    <row r="852" spans="1:18" x14ac:dyDescent="0.25">
      <c r="B852" s="1"/>
      <c r="C852" s="1"/>
      <c r="D852" s="1"/>
      <c r="E852" s="1"/>
      <c r="F852" s="1"/>
      <c r="G852" s="1"/>
      <c r="H852" s="3"/>
      <c r="I852" s="1"/>
      <c r="J852" s="1"/>
      <c r="K852" s="1"/>
      <c r="L852" s="1"/>
      <c r="M852" s="1"/>
      <c r="N852" s="1"/>
      <c r="O852" s="1"/>
      <c r="P852" s="1"/>
      <c r="Q852" s="3"/>
    </row>
    <row r="853" spans="1:18" x14ac:dyDescent="0.25">
      <c r="B853" s="1"/>
      <c r="C853" s="1"/>
      <c r="D853" s="1"/>
      <c r="E853" s="1"/>
      <c r="F853" s="1"/>
      <c r="G853" s="1"/>
      <c r="H853" s="3"/>
      <c r="I853" s="1"/>
      <c r="J853" s="1"/>
      <c r="K853" s="1"/>
      <c r="L853" s="1"/>
      <c r="M853" s="1"/>
      <c r="N853" s="1"/>
      <c r="O853" s="1"/>
      <c r="P853" s="1"/>
      <c r="Q853" s="3"/>
    </row>
    <row r="854" spans="1:18" x14ac:dyDescent="0.25">
      <c r="B854" s="1"/>
      <c r="C854" s="1"/>
      <c r="D854" s="1"/>
      <c r="E854" s="1"/>
      <c r="F854" s="1"/>
      <c r="G854" s="1"/>
      <c r="H854" s="3"/>
      <c r="K854" s="1"/>
      <c r="L854" s="1"/>
      <c r="M854" s="1"/>
      <c r="N854" s="1"/>
      <c r="O854" s="1"/>
      <c r="P854" s="1"/>
      <c r="Q854" s="3"/>
    </row>
    <row r="855" spans="1:18" x14ac:dyDescent="0.25">
      <c r="B855" s="1"/>
      <c r="C855" s="1"/>
      <c r="D855" s="1"/>
      <c r="E855" s="1"/>
      <c r="F855" s="1"/>
      <c r="G855" s="1"/>
      <c r="H855" s="3"/>
      <c r="I855" s="1"/>
      <c r="J855" s="1"/>
      <c r="K855" s="1"/>
      <c r="L855" s="1"/>
      <c r="M855" s="1"/>
      <c r="N855" s="1"/>
      <c r="O855" s="1"/>
      <c r="P855" s="1"/>
      <c r="Q855" s="3"/>
      <c r="R855" s="1"/>
    </row>
    <row r="856" spans="1:18" x14ac:dyDescent="0.25">
      <c r="B856" s="1"/>
      <c r="C856" s="1"/>
      <c r="D856" s="1"/>
      <c r="E856" s="1"/>
      <c r="F856" s="1"/>
      <c r="G856" s="1"/>
      <c r="H856" s="3"/>
      <c r="K856" s="1"/>
      <c r="L856" s="1"/>
      <c r="M856" s="1"/>
      <c r="N856" s="1"/>
      <c r="O856" s="1"/>
      <c r="P856" s="1"/>
      <c r="Q856" s="3"/>
    </row>
    <row r="857" spans="1:18" x14ac:dyDescent="0.25">
      <c r="B857" s="1"/>
      <c r="C857" s="1"/>
      <c r="D857" s="1"/>
      <c r="E857" s="1"/>
      <c r="F857" s="1"/>
      <c r="G857" s="1"/>
      <c r="H857" s="3"/>
      <c r="K857" s="1"/>
      <c r="L857" s="1"/>
      <c r="M857" s="1"/>
      <c r="N857" s="1"/>
      <c r="O857" s="1"/>
      <c r="P857" s="1"/>
      <c r="Q857" s="3"/>
    </row>
    <row r="858" spans="1:18" x14ac:dyDescent="0.25">
      <c r="B858" s="1"/>
      <c r="C858" s="1"/>
      <c r="D858" s="1"/>
      <c r="E858" s="1"/>
      <c r="F858" s="1"/>
      <c r="G858" s="1"/>
      <c r="H858" s="3"/>
      <c r="K858" s="1"/>
      <c r="L858" s="1"/>
      <c r="M858" s="1"/>
      <c r="N858" s="1"/>
      <c r="O858" s="1"/>
      <c r="P858" s="1"/>
      <c r="Q858" s="3"/>
    </row>
    <row r="859" spans="1:18" x14ac:dyDescent="0.25">
      <c r="A859" s="7"/>
      <c r="B859" s="1"/>
      <c r="C859" s="1"/>
      <c r="D859" s="1"/>
      <c r="E859" s="1"/>
      <c r="F859" s="1"/>
      <c r="G859" s="1"/>
      <c r="H859" s="3"/>
      <c r="K859" s="10"/>
      <c r="L859" s="10"/>
      <c r="M859" s="10"/>
      <c r="N859" s="10"/>
      <c r="O859" s="10"/>
      <c r="P859" s="1"/>
      <c r="Q859" s="3"/>
    </row>
    <row r="860" spans="1:18" x14ac:dyDescent="0.25">
      <c r="B860" s="1"/>
      <c r="C860" s="1"/>
      <c r="D860" s="1"/>
      <c r="E860" s="1"/>
      <c r="F860" s="1"/>
      <c r="G860" s="1"/>
      <c r="H860" s="3"/>
      <c r="K860" s="1"/>
      <c r="L860" s="1"/>
      <c r="M860" s="1"/>
      <c r="N860" s="1"/>
      <c r="O860" s="1"/>
      <c r="P860" s="1"/>
      <c r="Q860" s="3"/>
    </row>
    <row r="861" spans="1:18" x14ac:dyDescent="0.25">
      <c r="B861" s="1"/>
      <c r="C861" s="1"/>
      <c r="D861" s="1"/>
      <c r="E861" s="1"/>
      <c r="F861" s="1"/>
      <c r="G861" s="1"/>
      <c r="H861" s="3"/>
      <c r="I861" s="1"/>
      <c r="J861" s="1"/>
      <c r="K861" s="1"/>
      <c r="L861" s="1"/>
      <c r="M861" s="1"/>
      <c r="N861" s="1"/>
      <c r="O861" s="1"/>
      <c r="P861" s="1"/>
      <c r="Q861" s="3"/>
    </row>
    <row r="862" spans="1:18" x14ac:dyDescent="0.25">
      <c r="B862" s="1"/>
      <c r="C862" s="1"/>
      <c r="D862" s="1"/>
      <c r="E862" s="1"/>
      <c r="F862" s="1"/>
      <c r="G862" s="1"/>
      <c r="H862" s="3"/>
      <c r="I862" s="1"/>
      <c r="J862" s="1"/>
      <c r="K862" s="1"/>
      <c r="L862" s="1"/>
      <c r="M862" s="1"/>
      <c r="N862" s="1"/>
      <c r="O862" s="1"/>
      <c r="P862" s="1"/>
      <c r="Q862" s="3"/>
    </row>
    <row r="863" spans="1:18" x14ac:dyDescent="0.25">
      <c r="B863" s="1"/>
      <c r="C863" s="1"/>
      <c r="D863" s="1"/>
      <c r="E863" s="1"/>
      <c r="F863" s="1"/>
      <c r="G863" s="8"/>
      <c r="H863" s="9"/>
      <c r="K863" s="1"/>
      <c r="L863" s="1"/>
      <c r="M863" s="1"/>
      <c r="N863" s="1"/>
      <c r="O863" s="1"/>
      <c r="P863" s="1"/>
      <c r="Q863" s="3"/>
    </row>
    <row r="864" spans="1:18" x14ac:dyDescent="0.25">
      <c r="B864" s="1"/>
      <c r="C864" s="1"/>
      <c r="D864" s="1"/>
      <c r="E864" s="1"/>
      <c r="F864" s="1"/>
      <c r="G864" s="1"/>
      <c r="H864" s="3"/>
      <c r="K864" s="1"/>
      <c r="L864" s="1"/>
      <c r="M864" s="1"/>
      <c r="N864" s="1"/>
      <c r="O864" s="1"/>
      <c r="P864" s="1"/>
      <c r="Q864" s="3"/>
    </row>
    <row r="865" spans="2:18" x14ac:dyDescent="0.25">
      <c r="B865" s="1"/>
      <c r="C865" s="1"/>
      <c r="D865" s="1"/>
      <c r="E865" s="1"/>
      <c r="F865" s="1"/>
      <c r="G865" s="1"/>
      <c r="H865" s="3"/>
      <c r="K865" s="1"/>
      <c r="L865" s="1"/>
      <c r="M865" s="1"/>
      <c r="N865" s="1"/>
      <c r="O865" s="1"/>
      <c r="P865" s="1"/>
      <c r="Q865" s="3"/>
    </row>
    <row r="866" spans="2:18" x14ac:dyDescent="0.25">
      <c r="B866" s="1"/>
      <c r="C866" s="1"/>
      <c r="D866" s="1"/>
      <c r="E866" s="1"/>
      <c r="F866" s="1"/>
      <c r="G866" s="1"/>
      <c r="H866" s="3"/>
      <c r="K866" s="1"/>
      <c r="L866" s="1"/>
      <c r="M866" s="1"/>
      <c r="N866" s="1"/>
      <c r="O866" s="1"/>
      <c r="P866" s="1"/>
      <c r="Q866" s="3"/>
    </row>
    <row r="867" spans="2:18" x14ac:dyDescent="0.25">
      <c r="B867" s="1"/>
      <c r="C867" s="1"/>
      <c r="D867" s="1"/>
      <c r="E867" s="1"/>
      <c r="F867" s="1"/>
      <c r="G867" s="1"/>
      <c r="H867" s="3"/>
      <c r="K867" s="1"/>
      <c r="L867" s="1"/>
      <c r="M867" s="1"/>
      <c r="N867" s="1"/>
      <c r="O867" s="1"/>
      <c r="P867" s="1"/>
      <c r="Q867" s="3"/>
    </row>
    <row r="868" spans="2:18" x14ac:dyDescent="0.25">
      <c r="B868" s="1"/>
      <c r="C868" s="1"/>
      <c r="D868" s="1"/>
      <c r="E868" s="1"/>
      <c r="F868" s="1"/>
      <c r="G868" s="1"/>
      <c r="H868" s="3"/>
      <c r="K868" s="1"/>
      <c r="L868" s="1"/>
      <c r="M868" s="1"/>
      <c r="N868" s="1"/>
      <c r="O868" s="1"/>
      <c r="P868" s="1"/>
      <c r="Q868" s="3"/>
    </row>
    <row r="869" spans="2:18" x14ac:dyDescent="0.25">
      <c r="B869" s="1"/>
      <c r="C869" s="1"/>
      <c r="D869" s="1"/>
      <c r="E869" s="1"/>
      <c r="F869" s="1"/>
      <c r="G869" s="1"/>
      <c r="H869" s="3"/>
      <c r="K869" s="1"/>
      <c r="L869" s="1"/>
      <c r="M869" s="1"/>
      <c r="N869" s="1"/>
      <c r="O869" s="1"/>
      <c r="P869" s="1"/>
      <c r="Q869" s="3"/>
    </row>
    <row r="870" spans="2:18" x14ac:dyDescent="0.25">
      <c r="B870" s="1"/>
      <c r="C870" s="1"/>
      <c r="D870" s="1"/>
      <c r="E870" s="1"/>
      <c r="F870" s="1"/>
      <c r="G870" s="1"/>
      <c r="H870" s="3"/>
      <c r="K870" s="1"/>
      <c r="L870" s="1"/>
      <c r="M870" s="1"/>
      <c r="N870" s="1"/>
      <c r="O870" s="1"/>
      <c r="P870" s="1"/>
      <c r="Q870" s="3"/>
    </row>
    <row r="871" spans="2:18" x14ac:dyDescent="0.25">
      <c r="B871" s="1"/>
      <c r="C871" s="1"/>
      <c r="D871" s="1"/>
      <c r="E871" s="1"/>
      <c r="F871" s="1"/>
      <c r="G871" s="1"/>
      <c r="H871" s="3"/>
      <c r="K871" s="1"/>
      <c r="L871" s="1"/>
      <c r="M871" s="1"/>
      <c r="N871" s="1"/>
      <c r="O871" s="1"/>
      <c r="P871" s="1"/>
      <c r="Q871" s="3"/>
    </row>
    <row r="872" spans="2:18" x14ac:dyDescent="0.25">
      <c r="B872" s="1"/>
      <c r="C872" s="1"/>
      <c r="D872" s="1"/>
      <c r="E872" s="1"/>
      <c r="F872" s="1"/>
      <c r="G872" s="1"/>
      <c r="H872" s="3"/>
      <c r="K872" s="1"/>
      <c r="L872" s="1"/>
      <c r="M872" s="1"/>
      <c r="N872" s="1"/>
      <c r="O872" s="1"/>
      <c r="P872" s="1"/>
      <c r="Q872" s="3"/>
    </row>
    <row r="873" spans="2:18" x14ac:dyDescent="0.25">
      <c r="B873" s="1"/>
      <c r="C873" s="1"/>
      <c r="D873" s="1"/>
      <c r="E873" s="1"/>
      <c r="F873" s="1"/>
      <c r="G873" s="1"/>
      <c r="H873" s="3"/>
      <c r="K873" s="1"/>
      <c r="L873" s="1"/>
      <c r="M873" s="1"/>
      <c r="N873" s="1"/>
      <c r="O873" s="1"/>
      <c r="P873" s="1"/>
      <c r="Q873" s="3"/>
    </row>
    <row r="874" spans="2:18" x14ac:dyDescent="0.25">
      <c r="K874" s="1"/>
      <c r="L874" s="1"/>
      <c r="M874" s="1"/>
      <c r="N874" s="1"/>
      <c r="O874" s="1"/>
      <c r="P874" s="1"/>
      <c r="Q874" s="3"/>
    </row>
    <row r="875" spans="2:18" x14ac:dyDescent="0.25">
      <c r="B875" s="1"/>
      <c r="C875" s="1"/>
      <c r="D875" s="1"/>
      <c r="E875" s="1"/>
      <c r="F875" s="1"/>
      <c r="G875" s="1"/>
      <c r="H875" s="3"/>
      <c r="I875" s="1"/>
      <c r="J875" s="1"/>
      <c r="K875" s="1"/>
      <c r="L875" s="1"/>
      <c r="M875" s="1"/>
      <c r="N875" s="1"/>
      <c r="O875" s="1"/>
      <c r="P875" s="1"/>
      <c r="Q875" s="3"/>
      <c r="R875" s="1"/>
    </row>
    <row r="876" spans="2:18" x14ac:dyDescent="0.25">
      <c r="B876" s="1"/>
      <c r="C876" s="1"/>
      <c r="D876" s="1"/>
      <c r="E876" s="1"/>
      <c r="F876" s="1"/>
      <c r="G876" s="1"/>
      <c r="H876" s="3"/>
      <c r="K876" s="1"/>
      <c r="L876" s="1"/>
      <c r="M876" s="1"/>
      <c r="N876" s="1"/>
      <c r="O876" s="1"/>
      <c r="P876" s="1"/>
      <c r="Q876" s="3"/>
    </row>
    <row r="877" spans="2:18" x14ac:dyDescent="0.25">
      <c r="B877" s="1"/>
      <c r="C877" s="1"/>
      <c r="D877" s="1"/>
      <c r="E877" s="1"/>
      <c r="F877" s="1"/>
      <c r="G877" s="1"/>
      <c r="H877" s="3"/>
      <c r="I877" s="1"/>
      <c r="J877" s="1"/>
      <c r="K877" s="1"/>
      <c r="L877" s="1"/>
      <c r="M877" s="1"/>
      <c r="N877" s="1"/>
      <c r="O877" s="1"/>
      <c r="P877" s="1"/>
      <c r="Q877" s="3"/>
    </row>
    <row r="878" spans="2:18" x14ac:dyDescent="0.25">
      <c r="B878" s="1"/>
      <c r="C878" s="1"/>
      <c r="D878" s="1"/>
      <c r="E878" s="1"/>
      <c r="F878" s="1"/>
      <c r="G878" s="1"/>
      <c r="H878" s="3"/>
      <c r="K878" s="1"/>
      <c r="L878" s="1"/>
      <c r="M878" s="1"/>
      <c r="N878" s="1"/>
      <c r="O878" s="1"/>
      <c r="P878" s="1"/>
      <c r="Q878" s="3"/>
    </row>
    <row r="879" spans="2:18" x14ac:dyDescent="0.25">
      <c r="B879" s="1"/>
      <c r="C879" s="1"/>
      <c r="D879" s="1"/>
      <c r="E879" s="1"/>
      <c r="F879" s="1"/>
      <c r="G879" s="1"/>
      <c r="H879" s="3"/>
      <c r="K879" s="1"/>
      <c r="L879" s="1"/>
      <c r="M879" s="1"/>
      <c r="N879" s="1"/>
      <c r="O879" s="1"/>
      <c r="P879" s="1"/>
      <c r="Q879" s="3"/>
    </row>
    <row r="880" spans="2:18" x14ac:dyDescent="0.25">
      <c r="B880" s="1"/>
      <c r="C880" s="1"/>
      <c r="D880" s="1"/>
      <c r="E880" s="1"/>
      <c r="F880" s="1"/>
      <c r="G880" s="1"/>
      <c r="H880" s="3"/>
      <c r="I880" s="1"/>
      <c r="J880" s="1"/>
      <c r="K880" s="1"/>
      <c r="L880" s="1"/>
      <c r="M880" s="1"/>
      <c r="N880" s="1"/>
      <c r="O880" s="1"/>
      <c r="P880" s="1"/>
      <c r="Q880" s="3"/>
      <c r="R880" s="1"/>
    </row>
    <row r="881" spans="1:17" x14ac:dyDescent="0.25">
      <c r="B881" s="1"/>
      <c r="C881" s="1"/>
      <c r="D881" s="1"/>
      <c r="E881" s="1"/>
      <c r="F881" s="1"/>
      <c r="G881" s="1"/>
      <c r="H881" s="3"/>
      <c r="K881" s="1"/>
      <c r="L881" s="1"/>
      <c r="M881" s="1"/>
      <c r="N881" s="1"/>
      <c r="O881" s="1"/>
      <c r="P881" s="1"/>
      <c r="Q881" s="3"/>
    </row>
    <row r="882" spans="1:17" x14ac:dyDescent="0.25">
      <c r="B882" s="1"/>
      <c r="C882" s="1"/>
      <c r="D882" s="1"/>
      <c r="E882" s="1"/>
      <c r="F882" s="1"/>
      <c r="G882" s="1"/>
      <c r="H882" s="3"/>
      <c r="K882" s="1"/>
      <c r="L882" s="1"/>
      <c r="M882" s="1"/>
      <c r="N882" s="1"/>
      <c r="O882" s="1"/>
      <c r="P882" s="1"/>
      <c r="Q882" s="3"/>
    </row>
    <row r="883" spans="1:17" x14ac:dyDescent="0.25">
      <c r="B883" s="1"/>
      <c r="C883" s="1"/>
      <c r="D883" s="1"/>
      <c r="E883" s="1"/>
      <c r="F883" s="1"/>
      <c r="G883" s="1"/>
      <c r="H883" s="3"/>
      <c r="K883" s="1"/>
      <c r="L883" s="1"/>
      <c r="M883" s="1"/>
      <c r="N883" s="1"/>
      <c r="O883" s="1"/>
      <c r="P883" s="1"/>
      <c r="Q883" s="3"/>
    </row>
    <row r="884" spans="1:17" x14ac:dyDescent="0.25">
      <c r="B884" s="1"/>
      <c r="C884" s="1"/>
      <c r="D884" s="1"/>
      <c r="E884" s="1"/>
      <c r="F884" s="1"/>
      <c r="G884" s="1"/>
      <c r="H884" s="3"/>
      <c r="K884" s="1"/>
      <c r="L884" s="1"/>
      <c r="M884" s="1"/>
      <c r="N884" s="1"/>
      <c r="O884" s="1"/>
      <c r="P884" s="1"/>
      <c r="Q884" s="3"/>
    </row>
    <row r="885" spans="1:17" x14ac:dyDescent="0.25">
      <c r="B885" s="1"/>
      <c r="C885" s="1"/>
      <c r="D885" s="1"/>
      <c r="E885" s="1"/>
      <c r="F885" s="1"/>
      <c r="G885" s="1"/>
      <c r="H885" s="3"/>
      <c r="I885" s="1"/>
      <c r="J885" s="1"/>
      <c r="K885" s="1"/>
      <c r="L885" s="1"/>
      <c r="M885" s="1"/>
      <c r="N885" s="1"/>
      <c r="O885" s="1"/>
      <c r="P885" s="1"/>
      <c r="Q885" s="3"/>
    </row>
    <row r="886" spans="1:17" x14ac:dyDescent="0.25">
      <c r="B886" s="1"/>
      <c r="C886" s="1"/>
      <c r="D886" s="1"/>
      <c r="E886" s="1"/>
      <c r="F886" s="1"/>
      <c r="G886" s="1"/>
      <c r="H886" s="3"/>
      <c r="K886" s="1"/>
      <c r="L886" s="1"/>
      <c r="M886" s="1"/>
      <c r="N886" s="1"/>
      <c r="O886" s="1"/>
      <c r="P886" s="1"/>
      <c r="Q886" s="3"/>
    </row>
    <row r="887" spans="1:17" x14ac:dyDescent="0.25">
      <c r="B887" s="1"/>
      <c r="C887" s="1"/>
      <c r="D887" s="1"/>
      <c r="E887" s="1"/>
      <c r="F887" s="1"/>
      <c r="G887" s="1"/>
      <c r="H887" s="3"/>
      <c r="K887" s="1"/>
      <c r="L887" s="1"/>
      <c r="M887" s="1"/>
      <c r="N887" s="1"/>
      <c r="O887" s="1"/>
      <c r="P887" s="1"/>
      <c r="Q887" s="3"/>
    </row>
    <row r="888" spans="1:17" x14ac:dyDescent="0.25">
      <c r="B888" s="1"/>
      <c r="C888" s="1"/>
      <c r="D888" s="1"/>
      <c r="E888" s="1"/>
      <c r="F888" s="1"/>
      <c r="G888" s="1"/>
      <c r="H888" s="3"/>
      <c r="K888" s="1"/>
      <c r="L888" s="1"/>
      <c r="M888" s="1"/>
      <c r="N888" s="1"/>
      <c r="O888" s="1"/>
      <c r="P888" s="1"/>
      <c r="Q888" s="3"/>
    </row>
    <row r="889" spans="1:17" x14ac:dyDescent="0.25">
      <c r="B889" s="1"/>
      <c r="C889" s="1"/>
      <c r="D889" s="1"/>
      <c r="E889" s="1"/>
      <c r="F889" s="1"/>
      <c r="G889" s="1"/>
      <c r="H889" s="3"/>
      <c r="K889" s="1"/>
      <c r="L889" s="1"/>
      <c r="M889" s="1"/>
      <c r="N889" s="1"/>
      <c r="O889" s="1"/>
      <c r="P889" s="1"/>
      <c r="Q889" s="3"/>
    </row>
    <row r="890" spans="1:17" x14ac:dyDescent="0.25">
      <c r="B890" s="1"/>
      <c r="C890" s="1"/>
      <c r="D890" s="1"/>
      <c r="E890" s="1"/>
      <c r="F890" s="1"/>
      <c r="G890" s="1"/>
      <c r="H890" s="3"/>
      <c r="K890" s="1"/>
      <c r="L890" s="1"/>
      <c r="M890" s="1"/>
      <c r="N890" s="1"/>
      <c r="O890" s="1"/>
      <c r="P890" s="1"/>
      <c r="Q890" s="3"/>
    </row>
    <row r="891" spans="1:17" x14ac:dyDescent="0.25">
      <c r="B891" s="1"/>
      <c r="C891" s="1"/>
      <c r="D891" s="1"/>
      <c r="E891" s="1"/>
      <c r="F891" s="1"/>
      <c r="G891" s="1"/>
      <c r="H891" s="3"/>
      <c r="K891" s="1"/>
      <c r="L891" s="1"/>
      <c r="M891" s="1"/>
      <c r="N891" s="1"/>
      <c r="O891" s="1"/>
      <c r="P891" s="1"/>
      <c r="Q891" s="3"/>
    </row>
    <row r="892" spans="1:17" x14ac:dyDescent="0.25">
      <c r="B892" s="1"/>
      <c r="C892" s="1"/>
      <c r="D892" s="1"/>
      <c r="E892" s="1"/>
      <c r="F892" s="1"/>
      <c r="G892" s="1"/>
      <c r="H892" s="3"/>
      <c r="K892" s="1"/>
      <c r="L892" s="1"/>
      <c r="M892" s="1"/>
      <c r="N892" s="1"/>
      <c r="O892" s="1"/>
      <c r="P892" s="1"/>
      <c r="Q892" s="3"/>
    </row>
    <row r="893" spans="1:17" x14ac:dyDescent="0.25">
      <c r="B893" s="1"/>
      <c r="C893" s="1"/>
      <c r="D893" s="1"/>
      <c r="E893" s="1"/>
      <c r="F893" s="1"/>
      <c r="G893" s="1"/>
      <c r="H893" s="3"/>
      <c r="K893" s="1"/>
      <c r="L893" s="1"/>
      <c r="M893" s="1"/>
      <c r="N893" s="1"/>
      <c r="O893" s="1"/>
      <c r="P893" s="1"/>
      <c r="Q893" s="3"/>
    </row>
    <row r="894" spans="1:17" x14ac:dyDescent="0.25">
      <c r="A894" s="7"/>
      <c r="B894" s="1"/>
      <c r="C894" s="1"/>
      <c r="D894" s="1"/>
      <c r="E894" s="1"/>
      <c r="F894" s="1"/>
      <c r="G894" s="1"/>
      <c r="H894" s="3"/>
      <c r="K894" s="10"/>
      <c r="L894" s="10"/>
      <c r="M894" s="10"/>
      <c r="N894" s="10"/>
      <c r="O894" s="10"/>
      <c r="P894" s="1"/>
      <c r="Q894" s="3"/>
    </row>
    <row r="895" spans="1:17" x14ac:dyDescent="0.25">
      <c r="B895" s="1"/>
      <c r="C895" s="1"/>
      <c r="D895" s="1"/>
      <c r="E895" s="1"/>
      <c r="F895" s="1"/>
      <c r="G895" s="1"/>
      <c r="H895" s="3"/>
      <c r="I895" s="1"/>
      <c r="J895" s="1"/>
      <c r="K895" s="1"/>
      <c r="L895" s="1"/>
      <c r="M895" s="1"/>
      <c r="N895" s="1"/>
      <c r="O895" s="1"/>
      <c r="P895" s="1"/>
      <c r="Q895" s="3"/>
    </row>
    <row r="896" spans="1:17" x14ac:dyDescent="0.25">
      <c r="B896" s="1"/>
      <c r="C896" s="1"/>
      <c r="D896" s="1"/>
      <c r="E896" s="1"/>
      <c r="F896" s="1"/>
      <c r="G896" s="1"/>
      <c r="H896" s="3"/>
      <c r="K896" s="1"/>
      <c r="L896" s="1"/>
      <c r="M896" s="1"/>
      <c r="N896" s="1"/>
      <c r="O896" s="1"/>
      <c r="P896" s="1"/>
      <c r="Q896" s="3"/>
    </row>
    <row r="897" spans="1:17" x14ac:dyDescent="0.25">
      <c r="B897" s="1"/>
      <c r="C897" s="1"/>
      <c r="D897" s="1"/>
      <c r="E897" s="1"/>
      <c r="F897" s="1"/>
      <c r="G897" s="1"/>
      <c r="H897" s="3"/>
      <c r="K897" s="1"/>
      <c r="L897" s="1"/>
      <c r="M897" s="1"/>
      <c r="N897" s="1"/>
      <c r="O897" s="1"/>
      <c r="P897" s="1"/>
      <c r="Q897" s="3"/>
    </row>
    <row r="898" spans="1:17" x14ac:dyDescent="0.25">
      <c r="B898" s="1"/>
      <c r="C898" s="1"/>
      <c r="D898" s="1"/>
      <c r="E898" s="1"/>
      <c r="F898" s="1"/>
      <c r="G898" s="1"/>
      <c r="H898" s="3"/>
      <c r="K898" s="1"/>
      <c r="L898" s="1"/>
      <c r="M898" s="1"/>
      <c r="N898" s="1"/>
      <c r="O898" s="1"/>
      <c r="P898" s="1"/>
      <c r="Q898" s="3"/>
    </row>
    <row r="899" spans="1:17" x14ac:dyDescent="0.25">
      <c r="B899" s="1"/>
      <c r="C899" s="1"/>
      <c r="D899" s="1"/>
      <c r="E899" s="1"/>
      <c r="F899" s="1"/>
      <c r="G899" s="1"/>
      <c r="H899" s="3"/>
      <c r="K899" s="1"/>
      <c r="L899" s="1"/>
      <c r="M899" s="1"/>
      <c r="N899" s="1"/>
      <c r="O899" s="1"/>
      <c r="P899" s="1"/>
      <c r="Q899" s="3"/>
    </row>
    <row r="900" spans="1:17" x14ac:dyDescent="0.25">
      <c r="B900" s="1"/>
      <c r="C900" s="1"/>
      <c r="D900" s="1"/>
      <c r="E900" s="1"/>
      <c r="F900" s="1"/>
      <c r="G900" s="1"/>
      <c r="H900" s="3"/>
      <c r="I900" s="1"/>
      <c r="J900" s="1"/>
      <c r="K900" s="1"/>
      <c r="L900" s="1"/>
      <c r="M900" s="1"/>
      <c r="N900" s="1"/>
      <c r="O900" s="1"/>
      <c r="P900" s="1"/>
      <c r="Q900" s="3"/>
    </row>
    <row r="901" spans="1:17" x14ac:dyDescent="0.25">
      <c r="B901" s="1"/>
      <c r="C901" s="1"/>
      <c r="D901" s="1"/>
      <c r="E901" s="1"/>
      <c r="F901" s="1"/>
      <c r="G901" s="1"/>
      <c r="H901" s="3"/>
      <c r="K901" s="1"/>
      <c r="L901" s="1"/>
      <c r="M901" s="1"/>
      <c r="N901" s="1"/>
      <c r="O901" s="1"/>
      <c r="P901" s="1"/>
      <c r="Q901" s="3"/>
    </row>
    <row r="902" spans="1:17" x14ac:dyDescent="0.25">
      <c r="B902" s="1"/>
      <c r="C902" s="1"/>
      <c r="D902" s="1"/>
      <c r="E902" s="1"/>
      <c r="F902" s="1"/>
      <c r="G902" s="8"/>
      <c r="H902" s="9"/>
      <c r="K902" s="1"/>
      <c r="L902" s="1"/>
      <c r="M902" s="1"/>
      <c r="N902" s="1"/>
      <c r="O902" s="1"/>
      <c r="P902" s="1"/>
      <c r="Q902" s="3"/>
    </row>
    <row r="903" spans="1:17" x14ac:dyDescent="0.25">
      <c r="B903" s="1"/>
      <c r="C903" s="1"/>
      <c r="D903" s="1"/>
      <c r="E903" s="1"/>
      <c r="F903" s="1"/>
      <c r="G903" s="1"/>
      <c r="H903" s="3"/>
      <c r="I903" s="1"/>
      <c r="J903" s="1"/>
      <c r="K903" s="1"/>
      <c r="L903" s="1"/>
      <c r="M903" s="1"/>
      <c r="N903" s="1"/>
      <c r="O903" s="1"/>
      <c r="P903" s="1"/>
      <c r="Q903" s="3"/>
    </row>
    <row r="904" spans="1:17" x14ac:dyDescent="0.25">
      <c r="A904" s="7"/>
      <c r="B904" s="1"/>
      <c r="C904" s="1"/>
      <c r="D904" s="1"/>
      <c r="E904" s="1"/>
      <c r="F904" s="1"/>
      <c r="G904" s="1"/>
      <c r="H904" s="3"/>
      <c r="K904" s="10"/>
      <c r="L904" s="10"/>
      <c r="M904" s="10"/>
      <c r="N904" s="10"/>
      <c r="O904" s="10"/>
      <c r="P904" s="1"/>
      <c r="Q904" s="3"/>
    </row>
    <row r="905" spans="1:17" x14ac:dyDescent="0.25">
      <c r="B905" s="1"/>
      <c r="C905" s="1"/>
      <c r="D905" s="1"/>
      <c r="E905" s="1"/>
      <c r="F905" s="1"/>
      <c r="G905" s="1"/>
      <c r="H905" s="3"/>
      <c r="I905" s="1"/>
      <c r="J905" s="1"/>
      <c r="K905" s="1"/>
      <c r="L905" s="1"/>
      <c r="M905" s="1"/>
      <c r="N905" s="1"/>
      <c r="O905" s="1"/>
      <c r="P905" s="1"/>
      <c r="Q905" s="3"/>
    </row>
    <row r="906" spans="1:17" x14ac:dyDescent="0.25">
      <c r="B906" s="1"/>
      <c r="C906" s="1"/>
      <c r="D906" s="1"/>
      <c r="E906" s="1"/>
      <c r="F906" s="1"/>
      <c r="G906" s="1"/>
      <c r="H906" s="3"/>
      <c r="K906" s="1"/>
      <c r="L906" s="1"/>
      <c r="M906" s="1"/>
      <c r="N906" s="1"/>
      <c r="O906" s="1"/>
      <c r="P906" s="1"/>
      <c r="Q906" s="3"/>
    </row>
    <row r="907" spans="1:17" x14ac:dyDescent="0.25">
      <c r="B907" s="1"/>
      <c r="C907" s="1"/>
      <c r="D907" s="1"/>
      <c r="E907" s="1"/>
      <c r="F907" s="1"/>
      <c r="G907" s="1"/>
      <c r="H907" s="3"/>
      <c r="K907" s="1"/>
      <c r="L907" s="1"/>
      <c r="M907" s="1"/>
      <c r="N907" s="1"/>
      <c r="O907" s="1"/>
      <c r="P907" s="1"/>
      <c r="Q907" s="3"/>
    </row>
    <row r="908" spans="1:17" x14ac:dyDescent="0.25">
      <c r="B908" s="1"/>
      <c r="C908" s="1"/>
      <c r="D908" s="1"/>
      <c r="E908" s="1"/>
      <c r="F908" s="1"/>
      <c r="G908" s="8"/>
      <c r="H908" s="9"/>
      <c r="K908" s="1"/>
      <c r="L908" s="1"/>
      <c r="M908" s="1"/>
      <c r="N908" s="1"/>
      <c r="O908" s="1"/>
      <c r="P908" s="1"/>
      <c r="Q908" s="3"/>
    </row>
    <row r="909" spans="1:17" x14ac:dyDescent="0.25">
      <c r="B909" s="1"/>
      <c r="C909" s="1"/>
      <c r="D909" s="1"/>
      <c r="E909" s="1"/>
      <c r="F909" s="1"/>
      <c r="G909" s="1"/>
      <c r="H909" s="3"/>
      <c r="K909" s="1"/>
      <c r="L909" s="1"/>
      <c r="M909" s="1"/>
      <c r="N909" s="1"/>
      <c r="O909" s="1"/>
      <c r="P909" s="1"/>
      <c r="Q909" s="3"/>
    </row>
    <row r="910" spans="1:17" x14ac:dyDescent="0.25">
      <c r="B910" s="1"/>
      <c r="C910" s="1"/>
      <c r="D910" s="1"/>
      <c r="E910" s="1"/>
      <c r="F910" s="1"/>
      <c r="G910" s="1"/>
      <c r="H910" s="3"/>
      <c r="K910" s="1"/>
      <c r="L910" s="1"/>
      <c r="M910" s="1"/>
      <c r="N910" s="1"/>
      <c r="O910" s="1"/>
      <c r="P910" s="1"/>
      <c r="Q910" s="3"/>
    </row>
    <row r="911" spans="1:17" x14ac:dyDescent="0.25">
      <c r="B911" s="1"/>
      <c r="C911" s="1"/>
      <c r="D911" s="1"/>
      <c r="E911" s="1"/>
      <c r="F911" s="1"/>
      <c r="G911" s="1"/>
      <c r="H911" s="3"/>
      <c r="K911" s="1"/>
      <c r="L911" s="1"/>
      <c r="M911" s="1"/>
      <c r="N911" s="1"/>
      <c r="O911" s="1"/>
      <c r="P911" s="1"/>
      <c r="Q911" s="3"/>
    </row>
    <row r="912" spans="1:17" x14ac:dyDescent="0.25">
      <c r="B912" s="1"/>
      <c r="C912" s="1"/>
      <c r="D912" s="1"/>
      <c r="E912" s="1"/>
      <c r="F912" s="1"/>
      <c r="G912" s="8"/>
      <c r="H912" s="9"/>
      <c r="K912" s="1"/>
      <c r="L912" s="1"/>
      <c r="M912" s="1"/>
      <c r="N912" s="1"/>
      <c r="O912" s="1"/>
      <c r="P912" s="1"/>
      <c r="Q912" s="3"/>
    </row>
    <row r="913" spans="2:18" x14ac:dyDescent="0.25">
      <c r="B913" s="1"/>
      <c r="C913" s="1"/>
      <c r="D913" s="1"/>
      <c r="E913" s="1"/>
      <c r="F913" s="1"/>
      <c r="G913" s="1"/>
      <c r="H913" s="3"/>
      <c r="K913" s="1"/>
      <c r="L913" s="1"/>
      <c r="M913" s="1"/>
      <c r="N913" s="1"/>
      <c r="O913" s="1"/>
      <c r="P913" s="1"/>
      <c r="Q913" s="3"/>
    </row>
    <row r="914" spans="2:18" x14ac:dyDescent="0.25">
      <c r="B914" s="1"/>
      <c r="C914" s="1"/>
      <c r="D914" s="1"/>
      <c r="E914" s="1"/>
      <c r="F914" s="1"/>
      <c r="G914" s="1"/>
      <c r="H914" s="3"/>
      <c r="K914" s="1"/>
      <c r="L914" s="1"/>
      <c r="M914" s="1"/>
      <c r="N914" s="1"/>
      <c r="O914" s="1"/>
      <c r="P914" s="1"/>
      <c r="Q914" s="3"/>
    </row>
    <row r="915" spans="2:18" x14ac:dyDescent="0.25">
      <c r="B915" s="1"/>
      <c r="C915" s="1"/>
      <c r="D915" s="1"/>
      <c r="E915" s="1"/>
      <c r="F915" s="1"/>
      <c r="G915" s="1"/>
      <c r="H915" s="3"/>
      <c r="K915" s="1"/>
      <c r="L915" s="1"/>
      <c r="M915" s="1"/>
      <c r="N915" s="1"/>
      <c r="O915" s="1"/>
      <c r="P915" s="1"/>
      <c r="Q915" s="3"/>
    </row>
    <row r="916" spans="2:18" x14ac:dyDescent="0.25">
      <c r="B916" s="1"/>
      <c r="C916" s="1"/>
      <c r="D916" s="1"/>
      <c r="E916" s="1"/>
      <c r="F916" s="1"/>
      <c r="G916" s="1"/>
      <c r="H916" s="3"/>
      <c r="K916" s="1"/>
      <c r="L916" s="1"/>
      <c r="M916" s="1"/>
      <c r="N916" s="1"/>
      <c r="O916" s="1"/>
      <c r="P916" s="1"/>
      <c r="Q916" s="3"/>
    </row>
    <row r="917" spans="2:18" x14ac:dyDescent="0.25">
      <c r="B917" s="1"/>
      <c r="C917" s="1"/>
      <c r="D917" s="1"/>
      <c r="E917" s="1"/>
      <c r="F917" s="1"/>
      <c r="G917" s="1"/>
      <c r="H917" s="3"/>
      <c r="I917" s="1"/>
      <c r="J917" s="1"/>
      <c r="K917" s="1"/>
      <c r="L917" s="1"/>
      <c r="M917" s="1"/>
      <c r="N917" s="1"/>
      <c r="O917" s="1"/>
      <c r="P917" s="1"/>
      <c r="Q917" s="3"/>
    </row>
    <row r="918" spans="2:18" x14ac:dyDescent="0.25">
      <c r="B918" s="1"/>
      <c r="C918" s="1"/>
      <c r="D918" s="1"/>
      <c r="E918" s="1"/>
      <c r="F918" s="1"/>
      <c r="G918" s="1"/>
      <c r="H918" s="3"/>
      <c r="I918" s="1"/>
      <c r="J918" s="1"/>
      <c r="K918" s="1"/>
      <c r="L918" s="1"/>
      <c r="M918" s="1"/>
      <c r="N918" s="1"/>
      <c r="O918" s="1"/>
      <c r="P918" s="1"/>
      <c r="Q918" s="3"/>
      <c r="R918" s="1"/>
    </row>
    <row r="919" spans="2:18" x14ac:dyDescent="0.25">
      <c r="B919" s="1"/>
      <c r="C919" s="1"/>
      <c r="D919" s="1"/>
      <c r="E919" s="1"/>
      <c r="F919" s="1"/>
      <c r="G919" s="1"/>
      <c r="H919" s="3"/>
      <c r="K919" s="1"/>
      <c r="L919" s="1"/>
      <c r="M919" s="1"/>
      <c r="N919" s="1"/>
      <c r="O919" s="1"/>
      <c r="P919" s="1"/>
      <c r="Q919" s="3"/>
    </row>
    <row r="920" spans="2:18" x14ac:dyDescent="0.25">
      <c r="B920" s="1"/>
      <c r="C920" s="1"/>
      <c r="D920" s="1"/>
      <c r="E920" s="1"/>
      <c r="F920" s="1"/>
      <c r="G920" s="1"/>
      <c r="H920" s="3"/>
      <c r="I920" s="1"/>
      <c r="J920" s="1"/>
      <c r="K920" s="1"/>
      <c r="L920" s="1"/>
      <c r="M920" s="1"/>
      <c r="N920" s="1"/>
      <c r="O920" s="1"/>
      <c r="P920" s="1"/>
      <c r="Q920" s="3"/>
      <c r="R920" s="1"/>
    </row>
    <row r="921" spans="2:18" x14ac:dyDescent="0.25">
      <c r="B921" s="1"/>
      <c r="C921" s="1"/>
      <c r="D921" s="1"/>
      <c r="E921" s="1"/>
      <c r="F921" s="1"/>
      <c r="G921" s="1"/>
      <c r="H921" s="3"/>
      <c r="K921" s="1"/>
      <c r="L921" s="1"/>
      <c r="M921" s="1"/>
      <c r="N921" s="1"/>
      <c r="O921" s="1"/>
      <c r="P921" s="1"/>
      <c r="Q921" s="3"/>
    </row>
    <row r="922" spans="2:18" x14ac:dyDescent="0.25">
      <c r="B922" s="1"/>
      <c r="C922" s="1"/>
      <c r="D922" s="1"/>
      <c r="E922" s="1"/>
      <c r="F922" s="1"/>
      <c r="G922" s="1"/>
      <c r="H922" s="3"/>
      <c r="K922" s="1"/>
      <c r="L922" s="1"/>
      <c r="M922" s="1"/>
      <c r="N922" s="1"/>
      <c r="O922" s="1"/>
      <c r="P922" s="1"/>
      <c r="Q922" s="3"/>
    </row>
    <row r="923" spans="2:18" x14ac:dyDescent="0.25">
      <c r="B923" s="1"/>
      <c r="C923" s="1"/>
      <c r="D923" s="1"/>
      <c r="E923" s="1"/>
      <c r="F923" s="1"/>
      <c r="G923" s="1"/>
      <c r="H923" s="3"/>
      <c r="K923" s="1"/>
      <c r="L923" s="1"/>
      <c r="M923" s="1"/>
      <c r="N923" s="1"/>
      <c r="O923" s="1"/>
      <c r="P923" s="1"/>
      <c r="Q923" s="3"/>
    </row>
    <row r="924" spans="2:18" x14ac:dyDescent="0.25">
      <c r="B924" s="1"/>
      <c r="C924" s="1"/>
      <c r="D924" s="1"/>
      <c r="E924" s="1"/>
      <c r="F924" s="1"/>
      <c r="G924" s="1"/>
      <c r="H924" s="3"/>
      <c r="K924" s="1"/>
      <c r="L924" s="1"/>
      <c r="M924" s="1"/>
      <c r="N924" s="1"/>
      <c r="O924" s="1"/>
      <c r="P924" s="1"/>
      <c r="Q924" s="3"/>
    </row>
    <row r="925" spans="2:18" x14ac:dyDescent="0.25">
      <c r="B925" s="1"/>
      <c r="C925" s="1"/>
      <c r="D925" s="1"/>
      <c r="E925" s="1"/>
      <c r="F925" s="1"/>
      <c r="G925" s="8"/>
      <c r="H925" s="9"/>
      <c r="K925" s="1"/>
      <c r="L925" s="1"/>
      <c r="M925" s="1"/>
      <c r="N925" s="1"/>
      <c r="O925" s="1"/>
      <c r="P925" s="1"/>
      <c r="Q925" s="3"/>
    </row>
    <row r="926" spans="2:18" x14ac:dyDescent="0.25">
      <c r="B926" s="1"/>
      <c r="C926" s="1"/>
      <c r="D926" s="1"/>
      <c r="E926" s="1"/>
      <c r="F926" s="1"/>
      <c r="G926" s="1"/>
      <c r="H926" s="3"/>
      <c r="K926" s="1"/>
      <c r="L926" s="1"/>
      <c r="M926" s="1"/>
      <c r="N926" s="1"/>
      <c r="O926" s="1"/>
      <c r="P926" s="1"/>
      <c r="Q926" s="3"/>
    </row>
    <row r="927" spans="2:18" x14ac:dyDescent="0.25">
      <c r="B927" s="1"/>
      <c r="C927" s="1"/>
      <c r="D927" s="1"/>
      <c r="E927" s="1"/>
      <c r="F927" s="1"/>
      <c r="G927" s="1"/>
      <c r="H927" s="3"/>
      <c r="I927" s="1"/>
      <c r="J927" s="1"/>
      <c r="K927" s="1"/>
      <c r="L927" s="1"/>
      <c r="M927" s="1"/>
      <c r="N927" s="1"/>
      <c r="O927" s="1"/>
      <c r="P927" s="1"/>
      <c r="Q927" s="3"/>
    </row>
    <row r="928" spans="2:18" x14ac:dyDescent="0.25">
      <c r="B928" s="1"/>
      <c r="C928" s="1"/>
      <c r="D928" s="1"/>
      <c r="E928" s="1"/>
      <c r="F928" s="1"/>
      <c r="G928" s="1"/>
      <c r="H928" s="3"/>
      <c r="K928" s="1"/>
      <c r="L928" s="1"/>
      <c r="M928" s="1"/>
      <c r="N928" s="1"/>
      <c r="O928" s="1"/>
      <c r="P928" s="1"/>
      <c r="Q928" s="3"/>
    </row>
    <row r="929" spans="1:17" x14ac:dyDescent="0.25">
      <c r="B929" s="1"/>
      <c r="C929" s="1"/>
      <c r="D929" s="1"/>
      <c r="E929" s="1"/>
      <c r="F929" s="1"/>
      <c r="G929" s="1"/>
      <c r="H929" s="3"/>
      <c r="K929" s="1"/>
      <c r="L929" s="1"/>
      <c r="M929" s="1"/>
      <c r="N929" s="1"/>
      <c r="O929" s="1"/>
      <c r="P929" s="1"/>
      <c r="Q929" s="3"/>
    </row>
    <row r="930" spans="1:17" x14ac:dyDescent="0.25">
      <c r="B930" s="1"/>
      <c r="C930" s="1"/>
      <c r="D930" s="1"/>
      <c r="E930" s="1"/>
      <c r="F930" s="1"/>
      <c r="G930" s="1"/>
      <c r="H930" s="3"/>
      <c r="K930" s="1"/>
      <c r="L930" s="1"/>
      <c r="M930" s="1"/>
      <c r="N930" s="1"/>
      <c r="O930" s="1"/>
      <c r="P930" s="1"/>
      <c r="Q930" s="3"/>
    </row>
    <row r="931" spans="1:17" x14ac:dyDescent="0.25">
      <c r="K931" s="1"/>
      <c r="L931" s="1"/>
      <c r="M931" s="1"/>
      <c r="N931" s="1"/>
      <c r="O931" s="1"/>
      <c r="P931" s="1"/>
      <c r="Q931" s="3"/>
    </row>
    <row r="932" spans="1:17" x14ac:dyDescent="0.25">
      <c r="B932" s="1"/>
      <c r="C932" s="1"/>
      <c r="D932" s="1"/>
      <c r="E932" s="1"/>
      <c r="F932" s="1"/>
      <c r="G932" s="1"/>
      <c r="H932" s="3"/>
      <c r="K932" s="1"/>
      <c r="L932" s="1"/>
      <c r="M932" s="1"/>
      <c r="N932" s="1"/>
      <c r="O932" s="1"/>
      <c r="P932" s="1"/>
      <c r="Q932" s="3"/>
    </row>
    <row r="933" spans="1:17" x14ac:dyDescent="0.25">
      <c r="A933" s="7"/>
      <c r="B933" s="1"/>
      <c r="C933" s="1"/>
      <c r="D933" s="1"/>
      <c r="E933" s="1"/>
      <c r="F933" s="1"/>
      <c r="G933" s="1"/>
      <c r="H933" s="3"/>
      <c r="K933" s="10"/>
      <c r="L933" s="10"/>
      <c r="M933" s="10"/>
      <c r="N933" s="10"/>
      <c r="O933" s="10"/>
      <c r="P933" s="1"/>
      <c r="Q933" s="3"/>
    </row>
    <row r="934" spans="1:17" x14ac:dyDescent="0.25">
      <c r="B934" s="1"/>
      <c r="C934" s="1"/>
      <c r="D934" s="1"/>
      <c r="E934" s="1"/>
      <c r="F934" s="1"/>
      <c r="G934" s="1"/>
      <c r="H934" s="3"/>
      <c r="I934" s="1"/>
      <c r="J934" s="1"/>
      <c r="K934" s="1"/>
      <c r="L934" s="1"/>
      <c r="M934" s="1"/>
      <c r="N934" s="1"/>
      <c r="O934" s="1"/>
      <c r="P934" s="1"/>
      <c r="Q934" s="3"/>
    </row>
    <row r="935" spans="1:17" x14ac:dyDescent="0.25">
      <c r="B935" s="1"/>
      <c r="C935" s="1"/>
      <c r="D935" s="1"/>
      <c r="E935" s="1"/>
      <c r="F935" s="1"/>
      <c r="G935" s="1"/>
      <c r="H935" s="3"/>
      <c r="I935" s="1"/>
      <c r="J935" s="1"/>
      <c r="K935" s="1"/>
      <c r="L935" s="1"/>
      <c r="M935" s="1"/>
      <c r="N935" s="1"/>
      <c r="O935" s="1"/>
      <c r="P935" s="1"/>
      <c r="Q935" s="3"/>
    </row>
    <row r="936" spans="1:17" x14ac:dyDescent="0.25">
      <c r="B936" s="1"/>
      <c r="C936" s="1"/>
      <c r="D936" s="1"/>
      <c r="E936" s="1"/>
      <c r="F936" s="1"/>
      <c r="G936" s="1"/>
      <c r="H936" s="3"/>
      <c r="K936" s="1"/>
      <c r="L936" s="1"/>
      <c r="M936" s="1"/>
      <c r="N936" s="1"/>
      <c r="O936" s="1"/>
      <c r="P936" s="1"/>
      <c r="Q936" s="3"/>
    </row>
    <row r="937" spans="1:17" x14ac:dyDescent="0.25">
      <c r="K937" s="1"/>
      <c r="L937" s="1"/>
      <c r="M937" s="1"/>
      <c r="N937" s="1"/>
      <c r="O937" s="1"/>
      <c r="P937" s="1"/>
      <c r="Q937" s="3"/>
    </row>
    <row r="938" spans="1:17" x14ac:dyDescent="0.25">
      <c r="B938" s="1"/>
      <c r="C938" s="1"/>
      <c r="D938" s="1"/>
      <c r="E938" s="1"/>
      <c r="F938" s="1"/>
      <c r="G938" s="1"/>
      <c r="H938" s="3"/>
      <c r="I938" s="1"/>
      <c r="J938" s="1"/>
      <c r="K938" s="1"/>
      <c r="L938" s="1"/>
      <c r="M938" s="1"/>
      <c r="N938" s="1"/>
      <c r="O938" s="1"/>
      <c r="P938" s="1"/>
      <c r="Q938" s="3"/>
    </row>
    <row r="939" spans="1:17" x14ac:dyDescent="0.25">
      <c r="B939" s="1"/>
      <c r="C939" s="1"/>
      <c r="D939" s="1"/>
      <c r="E939" s="1"/>
      <c r="F939" s="1"/>
      <c r="G939" s="1"/>
      <c r="H939" s="3"/>
      <c r="K939" s="1"/>
      <c r="L939" s="1"/>
      <c r="M939" s="1"/>
      <c r="N939" s="1"/>
      <c r="O939" s="1"/>
      <c r="P939" s="1"/>
      <c r="Q939" s="3"/>
    </row>
    <row r="940" spans="1:17" x14ac:dyDescent="0.25">
      <c r="B940" s="1"/>
      <c r="C940" s="1"/>
      <c r="D940" s="1"/>
      <c r="E940" s="1"/>
      <c r="F940" s="1"/>
      <c r="G940" s="1"/>
      <c r="H940" s="3"/>
      <c r="I940" s="1"/>
      <c r="J940" s="1"/>
      <c r="K940" s="1"/>
      <c r="L940" s="1"/>
      <c r="M940" s="1"/>
      <c r="N940" s="1"/>
      <c r="O940" s="1"/>
      <c r="P940" s="1"/>
      <c r="Q940" s="3"/>
    </row>
    <row r="941" spans="1:17" x14ac:dyDescent="0.25">
      <c r="B941" s="1"/>
      <c r="C941" s="1"/>
      <c r="D941" s="1"/>
      <c r="E941" s="1"/>
      <c r="F941" s="1"/>
      <c r="G941" s="1"/>
      <c r="H941" s="3"/>
      <c r="I941" s="1"/>
      <c r="J941" s="1"/>
      <c r="K941" s="1"/>
      <c r="L941" s="1"/>
      <c r="M941" s="1"/>
      <c r="N941" s="1"/>
      <c r="O941" s="1"/>
      <c r="P941" s="1"/>
      <c r="Q941" s="3"/>
    </row>
    <row r="942" spans="1:17" x14ac:dyDescent="0.25">
      <c r="B942" s="1"/>
      <c r="C942" s="1"/>
      <c r="D942" s="1"/>
      <c r="E942" s="1"/>
      <c r="F942" s="1"/>
      <c r="G942" s="1"/>
      <c r="H942" s="3"/>
      <c r="K942" s="1"/>
      <c r="L942" s="1"/>
      <c r="M942" s="1"/>
      <c r="N942" s="1"/>
      <c r="O942" s="1"/>
      <c r="P942" s="1"/>
      <c r="Q942" s="3"/>
    </row>
    <row r="943" spans="1:17" x14ac:dyDescent="0.25">
      <c r="B943" s="1"/>
      <c r="C943" s="1"/>
      <c r="D943" s="1"/>
      <c r="E943" s="1"/>
      <c r="F943" s="1"/>
      <c r="G943" s="1"/>
      <c r="H943" s="3"/>
      <c r="K943" s="1"/>
      <c r="L943" s="1"/>
      <c r="M943" s="1"/>
      <c r="N943" s="1"/>
      <c r="O943" s="1"/>
      <c r="P943" s="1"/>
      <c r="Q943" s="3"/>
    </row>
    <row r="944" spans="1:17" x14ac:dyDescent="0.25">
      <c r="B944" s="1"/>
      <c r="C944" s="1"/>
      <c r="D944" s="1"/>
      <c r="E944" s="1"/>
      <c r="F944" s="1"/>
      <c r="G944" s="1"/>
      <c r="H944" s="3"/>
      <c r="K944" s="1"/>
      <c r="L944" s="1"/>
      <c r="M944" s="1"/>
      <c r="N944" s="1"/>
      <c r="O944" s="1"/>
      <c r="P944" s="1"/>
      <c r="Q944" s="3"/>
    </row>
    <row r="945" spans="1:18" x14ac:dyDescent="0.25">
      <c r="B945" s="1"/>
      <c r="C945" s="1"/>
      <c r="D945" s="1"/>
      <c r="E945" s="1"/>
      <c r="F945" s="1"/>
      <c r="G945" s="1"/>
      <c r="H945" s="3"/>
      <c r="I945" s="1"/>
      <c r="J945" s="1"/>
      <c r="K945" s="1"/>
      <c r="L945" s="1"/>
      <c r="M945" s="1"/>
      <c r="N945" s="1"/>
      <c r="O945" s="1"/>
      <c r="P945" s="1"/>
      <c r="Q945" s="3"/>
      <c r="R945" s="1"/>
    </row>
    <row r="946" spans="1:18" x14ac:dyDescent="0.25">
      <c r="B946" s="1"/>
      <c r="C946" s="1"/>
      <c r="D946" s="1"/>
      <c r="E946" s="1"/>
      <c r="F946" s="1"/>
      <c r="G946" s="8"/>
      <c r="H946" s="9"/>
      <c r="K946" s="1"/>
      <c r="L946" s="1"/>
      <c r="M946" s="1"/>
      <c r="N946" s="1"/>
      <c r="O946" s="1"/>
      <c r="P946" s="1"/>
      <c r="Q946" s="3"/>
    </row>
    <row r="947" spans="1:18" x14ac:dyDescent="0.25">
      <c r="B947" s="1"/>
      <c r="C947" s="1"/>
      <c r="D947" s="1"/>
      <c r="E947" s="1"/>
      <c r="F947" s="1"/>
      <c r="G947" s="1"/>
      <c r="H947" s="3"/>
      <c r="K947" s="1"/>
      <c r="L947" s="1"/>
      <c r="M947" s="1"/>
      <c r="N947" s="1"/>
      <c r="O947" s="1"/>
      <c r="P947" s="1"/>
      <c r="Q947" s="3"/>
    </row>
    <row r="948" spans="1:18" x14ac:dyDescent="0.25">
      <c r="A948" s="7"/>
      <c r="B948" s="1"/>
      <c r="C948" s="1"/>
      <c r="D948" s="1"/>
      <c r="E948" s="1"/>
      <c r="F948" s="1"/>
      <c r="G948" s="1"/>
      <c r="H948" s="3"/>
      <c r="K948" s="10"/>
      <c r="L948" s="10"/>
      <c r="M948" s="10"/>
      <c r="N948" s="10"/>
      <c r="O948" s="10"/>
      <c r="P948" s="1"/>
      <c r="Q948" s="3"/>
    </row>
    <row r="949" spans="1:18" x14ac:dyDescent="0.25">
      <c r="B949" s="1"/>
      <c r="C949" s="1"/>
      <c r="D949" s="1"/>
      <c r="E949" s="1"/>
      <c r="F949" s="1"/>
      <c r="G949" s="1"/>
      <c r="H949" s="3"/>
      <c r="I949" s="1"/>
      <c r="J949" s="1"/>
      <c r="K949" s="1"/>
      <c r="L949" s="1"/>
      <c r="M949" s="1"/>
      <c r="N949" s="1"/>
      <c r="O949" s="1"/>
      <c r="P949" s="1"/>
      <c r="Q949" s="3"/>
    </row>
    <row r="950" spans="1:18" x14ac:dyDescent="0.25">
      <c r="B950" s="1"/>
      <c r="C950" s="1"/>
      <c r="D950" s="1"/>
      <c r="E950" s="1"/>
      <c r="F950" s="1"/>
      <c r="G950" s="1"/>
      <c r="H950" s="3"/>
      <c r="K950" s="1"/>
      <c r="L950" s="1"/>
      <c r="M950" s="1"/>
      <c r="N950" s="1"/>
      <c r="O950" s="1"/>
      <c r="P950" s="1"/>
      <c r="Q950" s="3"/>
    </row>
    <row r="951" spans="1:18" x14ac:dyDescent="0.25">
      <c r="B951" s="1"/>
      <c r="C951" s="1"/>
      <c r="D951" s="1"/>
      <c r="E951" s="1"/>
      <c r="F951" s="1"/>
      <c r="G951" s="1"/>
      <c r="H951" s="3"/>
      <c r="K951" s="1"/>
      <c r="L951" s="1"/>
      <c r="M951" s="1"/>
      <c r="N951" s="1"/>
      <c r="O951" s="1"/>
      <c r="P951" s="1"/>
      <c r="Q951" s="3"/>
    </row>
    <row r="952" spans="1:18" x14ac:dyDescent="0.25">
      <c r="B952" s="1"/>
      <c r="C952" s="1"/>
      <c r="D952" s="1"/>
      <c r="E952" s="1"/>
      <c r="F952" s="1"/>
      <c r="G952" s="1"/>
      <c r="H952" s="3"/>
      <c r="K952" s="1"/>
      <c r="L952" s="1"/>
      <c r="M952" s="1"/>
      <c r="N952" s="1"/>
      <c r="O952" s="1"/>
      <c r="P952" s="1"/>
      <c r="Q952" s="3"/>
    </row>
    <row r="953" spans="1:18" x14ac:dyDescent="0.25">
      <c r="B953" s="1"/>
      <c r="C953" s="1"/>
      <c r="D953" s="1"/>
      <c r="E953" s="1"/>
      <c r="F953" s="1"/>
      <c r="G953" s="1"/>
      <c r="H953" s="3"/>
      <c r="K953" s="1"/>
      <c r="L953" s="1"/>
      <c r="M953" s="1"/>
      <c r="N953" s="1"/>
      <c r="O953" s="1"/>
      <c r="P953" s="1"/>
      <c r="Q953" s="3"/>
    </row>
    <row r="954" spans="1:18" x14ac:dyDescent="0.25">
      <c r="B954" s="1"/>
      <c r="C954" s="1"/>
      <c r="D954" s="1"/>
      <c r="E954" s="1"/>
      <c r="F954" s="1"/>
      <c r="G954" s="1"/>
      <c r="H954" s="3"/>
      <c r="K954" s="1"/>
      <c r="L954" s="1"/>
      <c r="M954" s="1"/>
      <c r="N954" s="1"/>
      <c r="O954" s="1"/>
      <c r="P954" s="1"/>
      <c r="Q954" s="3"/>
    </row>
    <row r="955" spans="1:18" x14ac:dyDescent="0.25">
      <c r="B955" s="1"/>
      <c r="C955" s="1"/>
      <c r="D955" s="1"/>
      <c r="E955" s="1"/>
      <c r="F955" s="1"/>
      <c r="G955" s="1"/>
      <c r="H955" s="3"/>
      <c r="K955" s="1"/>
      <c r="L955" s="1"/>
      <c r="M955" s="1"/>
      <c r="N955" s="1"/>
      <c r="O955" s="1"/>
      <c r="P955" s="1"/>
      <c r="Q955" s="3"/>
    </row>
    <row r="956" spans="1:18" x14ac:dyDescent="0.25">
      <c r="B956" s="1"/>
      <c r="C956" s="1"/>
      <c r="D956" s="1"/>
      <c r="E956" s="1"/>
      <c r="F956" s="1"/>
      <c r="G956" s="1"/>
      <c r="H956" s="3"/>
      <c r="K956" s="1"/>
      <c r="L956" s="1"/>
      <c r="M956" s="1"/>
      <c r="N956" s="1"/>
      <c r="O956" s="1"/>
      <c r="P956" s="1"/>
      <c r="Q956" s="3"/>
    </row>
    <row r="957" spans="1:18" x14ac:dyDescent="0.25">
      <c r="B957" s="1"/>
      <c r="C957" s="1"/>
      <c r="D957" s="1"/>
      <c r="E957" s="1"/>
      <c r="F957" s="1"/>
      <c r="G957" s="1"/>
      <c r="H957" s="3"/>
      <c r="K957" s="1"/>
      <c r="L957" s="1"/>
      <c r="M957" s="1"/>
      <c r="N957" s="1"/>
      <c r="O957" s="1"/>
      <c r="P957" s="1"/>
      <c r="Q957" s="3"/>
    </row>
    <row r="958" spans="1:18" x14ac:dyDescent="0.25">
      <c r="B958" s="1"/>
      <c r="C958" s="1"/>
      <c r="D958" s="1"/>
      <c r="E958" s="1"/>
      <c r="F958" s="1"/>
      <c r="G958" s="1"/>
      <c r="H958" s="3"/>
      <c r="K958" s="1"/>
      <c r="L958" s="1"/>
      <c r="M958" s="1"/>
      <c r="N958" s="1"/>
      <c r="O958" s="1"/>
      <c r="P958" s="1"/>
      <c r="Q958" s="3"/>
    </row>
    <row r="959" spans="1:18" x14ac:dyDescent="0.25">
      <c r="B959" s="1"/>
      <c r="C959" s="1"/>
      <c r="D959" s="1"/>
      <c r="E959" s="1"/>
      <c r="F959" s="1"/>
      <c r="G959" s="1"/>
      <c r="H959" s="3"/>
      <c r="K959" s="1"/>
      <c r="L959" s="1"/>
      <c r="M959" s="1"/>
      <c r="N959" s="1"/>
      <c r="O959" s="1"/>
      <c r="P959" s="1"/>
      <c r="Q959" s="3"/>
    </row>
    <row r="960" spans="1:18" x14ac:dyDescent="0.25">
      <c r="B960" s="1"/>
      <c r="C960" s="1"/>
      <c r="D960" s="1"/>
      <c r="E960" s="1"/>
      <c r="F960" s="1"/>
      <c r="G960" s="1"/>
      <c r="H960" s="3"/>
      <c r="I960" s="1"/>
      <c r="J960" s="1"/>
      <c r="K960" s="1"/>
      <c r="L960" s="1"/>
      <c r="M960" s="1"/>
      <c r="N960" s="1"/>
      <c r="O960" s="1"/>
      <c r="P960" s="1"/>
      <c r="Q960" s="3"/>
    </row>
    <row r="961" spans="1:18" x14ac:dyDescent="0.25">
      <c r="B961" s="1"/>
      <c r="C961" s="1"/>
      <c r="D961" s="1"/>
      <c r="E961" s="1"/>
      <c r="F961" s="1"/>
      <c r="G961" s="1"/>
      <c r="H961" s="3"/>
      <c r="K961" s="1"/>
      <c r="L961" s="1"/>
      <c r="M961" s="1"/>
      <c r="N961" s="1"/>
      <c r="O961" s="1"/>
      <c r="P961" s="1"/>
      <c r="Q961" s="3"/>
    </row>
    <row r="962" spans="1:18" x14ac:dyDescent="0.25">
      <c r="B962" s="1"/>
      <c r="C962" s="1"/>
      <c r="D962" s="1"/>
      <c r="E962" s="1"/>
      <c r="F962" s="1"/>
      <c r="G962" s="1"/>
      <c r="H962" s="3"/>
      <c r="I962" s="1"/>
      <c r="J962" s="1"/>
      <c r="K962" s="1"/>
      <c r="L962" s="1"/>
      <c r="M962" s="1"/>
      <c r="N962" s="1"/>
      <c r="O962" s="1"/>
      <c r="P962" s="1"/>
      <c r="Q962" s="3"/>
    </row>
    <row r="963" spans="1:18" x14ac:dyDescent="0.25">
      <c r="A963" s="7"/>
      <c r="B963" s="1"/>
      <c r="C963" s="1"/>
      <c r="D963" s="1"/>
      <c r="E963" s="1"/>
      <c r="F963" s="1"/>
      <c r="G963" s="1"/>
      <c r="H963" s="3"/>
      <c r="K963" s="10"/>
      <c r="L963" s="10"/>
      <c r="M963" s="10"/>
      <c r="N963" s="10"/>
      <c r="O963" s="10"/>
      <c r="P963" s="1"/>
      <c r="Q963" s="3"/>
    </row>
    <row r="964" spans="1:18" x14ac:dyDescent="0.25">
      <c r="B964" s="1"/>
      <c r="C964" s="1"/>
      <c r="D964" s="1"/>
      <c r="E964" s="1"/>
      <c r="F964" s="1"/>
      <c r="G964" s="1"/>
      <c r="H964" s="3"/>
      <c r="K964" s="1"/>
      <c r="L964" s="1"/>
      <c r="M964" s="1"/>
      <c r="N964" s="1"/>
      <c r="O964" s="1"/>
      <c r="P964" s="1"/>
      <c r="Q964" s="3"/>
    </row>
    <row r="965" spans="1:18" x14ac:dyDescent="0.25">
      <c r="B965" s="1"/>
      <c r="C965" s="1"/>
      <c r="D965" s="1"/>
      <c r="E965" s="1"/>
      <c r="F965" s="1"/>
      <c r="G965" s="1"/>
      <c r="H965" s="3"/>
      <c r="K965" s="1"/>
      <c r="L965" s="1"/>
      <c r="M965" s="1"/>
      <c r="N965" s="1"/>
      <c r="O965" s="1"/>
      <c r="P965" s="1"/>
      <c r="Q965" s="3"/>
    </row>
    <row r="966" spans="1:18" x14ac:dyDescent="0.25">
      <c r="B966" s="1"/>
      <c r="C966" s="1"/>
      <c r="D966" s="1"/>
      <c r="E966" s="1"/>
      <c r="F966" s="1"/>
      <c r="G966" s="1"/>
      <c r="H966" s="3"/>
      <c r="K966" s="1"/>
      <c r="L966" s="1"/>
      <c r="M966" s="1"/>
      <c r="N966" s="1"/>
      <c r="O966" s="1"/>
      <c r="P966" s="1"/>
      <c r="Q966" s="3"/>
    </row>
    <row r="967" spans="1:18" x14ac:dyDescent="0.25">
      <c r="B967" s="1"/>
      <c r="C967" s="1"/>
      <c r="D967" s="1"/>
      <c r="E967" s="1"/>
      <c r="F967" s="1"/>
      <c r="G967" s="1"/>
      <c r="H967" s="3"/>
      <c r="K967" s="1"/>
      <c r="L967" s="1"/>
      <c r="M967" s="1"/>
      <c r="N967" s="1"/>
      <c r="O967" s="1"/>
      <c r="P967" s="1"/>
      <c r="Q967" s="3"/>
    </row>
    <row r="968" spans="1:18" x14ac:dyDescent="0.25">
      <c r="B968" s="1"/>
      <c r="C968" s="1"/>
      <c r="D968" s="1"/>
      <c r="E968" s="1"/>
      <c r="F968" s="1"/>
      <c r="G968" s="1"/>
      <c r="H968" s="3"/>
      <c r="K968" s="1"/>
      <c r="L968" s="1"/>
      <c r="M968" s="1"/>
      <c r="N968" s="1"/>
      <c r="O968" s="1"/>
      <c r="P968" s="1"/>
      <c r="Q968" s="3"/>
    </row>
    <row r="969" spans="1:18" x14ac:dyDescent="0.25">
      <c r="B969" s="1"/>
      <c r="C969" s="1"/>
      <c r="D969" s="1"/>
      <c r="E969" s="1"/>
      <c r="F969" s="1"/>
      <c r="G969" s="1"/>
      <c r="H969" s="3"/>
      <c r="I969" s="1"/>
      <c r="J969" s="1"/>
      <c r="K969" s="1"/>
      <c r="L969" s="1"/>
      <c r="M969" s="1"/>
      <c r="N969" s="1"/>
      <c r="O969" s="1"/>
      <c r="P969" s="1"/>
      <c r="Q969" s="3"/>
      <c r="R969" s="1"/>
    </row>
    <row r="970" spans="1:18" x14ac:dyDescent="0.25">
      <c r="K970" s="1"/>
      <c r="L970" s="1"/>
      <c r="M970" s="1"/>
      <c r="N970" s="1"/>
      <c r="O970" s="1"/>
      <c r="P970" s="1"/>
      <c r="Q970" s="3"/>
    </row>
    <row r="971" spans="1:18" x14ac:dyDescent="0.25">
      <c r="B971" s="1"/>
      <c r="C971" s="1"/>
      <c r="D971" s="1"/>
      <c r="E971" s="1"/>
      <c r="F971" s="1"/>
      <c r="G971" s="1"/>
      <c r="H971" s="3"/>
      <c r="I971" s="1"/>
      <c r="J971" s="1"/>
      <c r="K971" s="1"/>
      <c r="L971" s="1"/>
      <c r="M971" s="1"/>
      <c r="N971" s="1"/>
      <c r="O971" s="1"/>
      <c r="P971" s="1"/>
      <c r="Q971" s="3"/>
      <c r="R971" s="1"/>
    </row>
    <row r="972" spans="1:18" x14ac:dyDescent="0.25">
      <c r="B972" s="1"/>
      <c r="C972" s="1"/>
      <c r="D972" s="1"/>
      <c r="E972" s="1"/>
      <c r="F972" s="1"/>
      <c r="G972" s="1"/>
      <c r="H972" s="3"/>
      <c r="I972" s="1"/>
      <c r="J972" s="1"/>
      <c r="K972" s="1"/>
      <c r="L972" s="1"/>
      <c r="M972" s="1"/>
      <c r="N972" s="1"/>
      <c r="O972" s="1"/>
      <c r="P972" s="1"/>
      <c r="Q972" s="3"/>
    </row>
    <row r="973" spans="1:18" x14ac:dyDescent="0.25">
      <c r="K973" s="1"/>
      <c r="L973" s="1"/>
      <c r="M973" s="1"/>
      <c r="N973" s="1"/>
      <c r="O973" s="1"/>
      <c r="P973" s="1"/>
      <c r="Q973" s="3"/>
    </row>
    <row r="974" spans="1:18" x14ac:dyDescent="0.25">
      <c r="B974" s="1"/>
      <c r="C974" s="1"/>
      <c r="D974" s="1"/>
      <c r="E974" s="1"/>
      <c r="F974" s="1"/>
      <c r="G974" s="1"/>
      <c r="H974" s="3"/>
      <c r="I974" s="1"/>
      <c r="J974" s="1"/>
      <c r="K974" s="1"/>
      <c r="L974" s="1"/>
      <c r="M974" s="1"/>
      <c r="N974" s="1"/>
      <c r="O974" s="1"/>
      <c r="P974" s="1"/>
      <c r="Q974" s="3"/>
    </row>
    <row r="975" spans="1:18" x14ac:dyDescent="0.25">
      <c r="B975" s="1"/>
      <c r="C975" s="1"/>
      <c r="D975" s="1"/>
      <c r="E975" s="1"/>
      <c r="F975" s="1"/>
      <c r="G975" s="1"/>
      <c r="H975" s="3"/>
      <c r="K975" s="1"/>
      <c r="L975" s="1"/>
      <c r="M975" s="1"/>
      <c r="N975" s="1"/>
      <c r="O975" s="1"/>
      <c r="P975" s="1"/>
      <c r="Q975" s="3"/>
    </row>
    <row r="976" spans="1:18" x14ac:dyDescent="0.25">
      <c r="B976" s="1"/>
      <c r="C976" s="1"/>
      <c r="D976" s="1"/>
      <c r="E976" s="1"/>
      <c r="F976" s="1"/>
      <c r="G976" s="1"/>
      <c r="H976" s="3"/>
      <c r="K976" s="1"/>
      <c r="L976" s="1"/>
      <c r="M976" s="1"/>
      <c r="N976" s="1"/>
      <c r="O976" s="1"/>
      <c r="P976" s="1"/>
      <c r="Q976" s="3"/>
    </row>
    <row r="977" spans="1:18" x14ac:dyDescent="0.25">
      <c r="K977" s="1"/>
      <c r="L977" s="1"/>
      <c r="M977" s="1"/>
      <c r="N977" s="1"/>
      <c r="O977" s="1"/>
      <c r="P977" s="1"/>
      <c r="Q977" s="3"/>
    </row>
    <row r="978" spans="1:18" x14ac:dyDescent="0.25">
      <c r="B978" s="1"/>
      <c r="C978" s="1"/>
      <c r="D978" s="1"/>
      <c r="E978" s="1"/>
      <c r="F978" s="1"/>
      <c r="G978" s="8"/>
      <c r="H978" s="9"/>
      <c r="K978" s="1"/>
      <c r="L978" s="1"/>
      <c r="M978" s="1"/>
      <c r="N978" s="1"/>
      <c r="O978" s="1"/>
      <c r="P978" s="1"/>
      <c r="Q978" s="3"/>
    </row>
    <row r="979" spans="1:18" x14ac:dyDescent="0.25">
      <c r="B979" s="1"/>
      <c r="C979" s="1"/>
      <c r="D979" s="1"/>
      <c r="E979" s="1"/>
      <c r="F979" s="1"/>
      <c r="G979" s="1"/>
      <c r="H979" s="3"/>
      <c r="K979" s="1"/>
      <c r="L979" s="1"/>
      <c r="M979" s="1"/>
      <c r="N979" s="1"/>
      <c r="O979" s="1"/>
      <c r="P979" s="1"/>
      <c r="Q979" s="3"/>
    </row>
    <row r="980" spans="1:18" x14ac:dyDescent="0.25">
      <c r="B980" s="1"/>
      <c r="C980" s="1"/>
      <c r="D980" s="1"/>
      <c r="E980" s="1"/>
      <c r="F980" s="1"/>
      <c r="G980" s="8"/>
      <c r="H980" s="9"/>
      <c r="K980" s="1"/>
      <c r="L980" s="1"/>
      <c r="M980" s="1"/>
      <c r="N980" s="1"/>
      <c r="O980" s="1"/>
      <c r="P980" s="1"/>
      <c r="Q980" s="3"/>
    </row>
    <row r="981" spans="1:18" x14ac:dyDescent="0.25">
      <c r="B981" s="1"/>
      <c r="C981" s="1"/>
      <c r="D981" s="1"/>
      <c r="E981" s="1"/>
      <c r="F981" s="1"/>
      <c r="G981" s="1"/>
      <c r="H981" s="3"/>
      <c r="K981" s="1"/>
      <c r="L981" s="1"/>
      <c r="M981" s="1"/>
      <c r="N981" s="1"/>
      <c r="O981" s="1"/>
      <c r="P981" s="1"/>
      <c r="Q981" s="3"/>
    </row>
    <row r="982" spans="1:18" x14ac:dyDescent="0.25">
      <c r="B982" s="1"/>
      <c r="C982" s="1"/>
      <c r="D982" s="1"/>
      <c r="E982" s="1"/>
      <c r="F982" s="1"/>
      <c r="G982" s="1"/>
      <c r="H982" s="3"/>
      <c r="I982" s="1"/>
      <c r="J982" s="1"/>
      <c r="K982" s="1"/>
      <c r="L982" s="1"/>
      <c r="M982" s="1"/>
      <c r="N982" s="1"/>
      <c r="O982" s="1"/>
      <c r="P982" s="1"/>
      <c r="Q982" s="3"/>
    </row>
    <row r="983" spans="1:18" x14ac:dyDescent="0.25">
      <c r="B983" s="1"/>
      <c r="C983" s="1"/>
      <c r="D983" s="1"/>
      <c r="E983" s="1"/>
      <c r="F983" s="1"/>
      <c r="G983" s="1"/>
      <c r="H983" s="3"/>
      <c r="K983" s="1"/>
      <c r="L983" s="1"/>
      <c r="M983" s="1"/>
      <c r="N983" s="1"/>
      <c r="O983" s="1"/>
      <c r="P983" s="1"/>
      <c r="Q983" s="3"/>
    </row>
    <row r="984" spans="1:18" x14ac:dyDescent="0.25">
      <c r="B984" s="1"/>
      <c r="C984" s="1"/>
      <c r="D984" s="1"/>
      <c r="E984" s="1"/>
      <c r="F984" s="1"/>
      <c r="G984" s="1"/>
      <c r="H984" s="3"/>
      <c r="K984" s="1"/>
      <c r="L984" s="1"/>
      <c r="M984" s="1"/>
      <c r="N984" s="1"/>
      <c r="O984" s="1"/>
      <c r="P984" s="1"/>
      <c r="Q984" s="3"/>
    </row>
    <row r="985" spans="1:18" x14ac:dyDescent="0.25">
      <c r="A985" s="7"/>
      <c r="B985" s="1"/>
      <c r="C985" s="1"/>
      <c r="D985" s="1"/>
      <c r="E985" s="1"/>
      <c r="F985" s="1"/>
      <c r="G985" s="1"/>
      <c r="H985" s="3"/>
      <c r="K985" s="10"/>
      <c r="L985" s="10"/>
      <c r="M985" s="10"/>
      <c r="N985" s="10"/>
      <c r="O985" s="10"/>
      <c r="P985" s="1"/>
      <c r="Q985" s="3"/>
    </row>
    <row r="986" spans="1:18" x14ac:dyDescent="0.25">
      <c r="B986" s="1"/>
      <c r="C986" s="1"/>
      <c r="D986" s="1"/>
      <c r="E986" s="1"/>
      <c r="F986" s="1"/>
      <c r="G986" s="1"/>
      <c r="H986" s="3"/>
      <c r="I986" s="1"/>
      <c r="J986" s="1"/>
      <c r="K986" s="1"/>
      <c r="L986" s="1"/>
      <c r="M986" s="1"/>
      <c r="N986" s="1"/>
      <c r="O986" s="1"/>
      <c r="P986" s="1"/>
      <c r="Q986" s="3"/>
    </row>
    <row r="987" spans="1:18" x14ac:dyDescent="0.25">
      <c r="B987" s="1"/>
      <c r="C987" s="1"/>
      <c r="D987" s="1"/>
      <c r="E987" s="1"/>
      <c r="F987" s="1"/>
      <c r="G987" s="1"/>
      <c r="H987" s="3"/>
      <c r="I987" s="1"/>
      <c r="J987" s="1"/>
      <c r="K987" s="1"/>
      <c r="L987" s="1"/>
      <c r="M987" s="1"/>
      <c r="N987" s="1"/>
      <c r="O987" s="1"/>
      <c r="P987" s="1"/>
      <c r="Q987" s="3"/>
    </row>
    <row r="988" spans="1:18" x14ac:dyDescent="0.25">
      <c r="B988" s="1"/>
      <c r="C988" s="1"/>
      <c r="D988" s="1"/>
      <c r="E988" s="1"/>
      <c r="F988" s="1"/>
      <c r="G988" s="1"/>
      <c r="H988" s="3"/>
      <c r="K988" s="1"/>
      <c r="L988" s="1"/>
      <c r="M988" s="1"/>
      <c r="N988" s="1"/>
      <c r="O988" s="1"/>
      <c r="P988" s="1"/>
      <c r="Q988" s="3"/>
    </row>
    <row r="989" spans="1:18" x14ac:dyDescent="0.25">
      <c r="B989" s="1"/>
      <c r="C989" s="1"/>
      <c r="D989" s="1"/>
      <c r="E989" s="1"/>
      <c r="F989" s="1"/>
      <c r="G989" s="1"/>
      <c r="H989" s="3"/>
      <c r="I989" s="1"/>
      <c r="J989" s="1"/>
      <c r="K989" s="1"/>
      <c r="L989" s="1"/>
      <c r="M989" s="1"/>
      <c r="N989" s="1"/>
      <c r="O989" s="1"/>
      <c r="P989" s="1"/>
      <c r="Q989" s="3"/>
      <c r="R989" s="1"/>
    </row>
    <row r="990" spans="1:18" x14ac:dyDescent="0.25">
      <c r="B990" s="1"/>
      <c r="C990" s="1"/>
      <c r="D990" s="1"/>
      <c r="E990" s="1"/>
      <c r="F990" s="1"/>
      <c r="G990" s="1"/>
      <c r="H990" s="3"/>
      <c r="I990" s="1"/>
      <c r="J990" s="1"/>
      <c r="K990" s="1"/>
      <c r="L990" s="1"/>
      <c r="M990" s="1"/>
      <c r="N990" s="1"/>
      <c r="O990" s="1"/>
      <c r="P990" s="1"/>
      <c r="Q990" s="3"/>
      <c r="R990" s="1"/>
    </row>
    <row r="991" spans="1:18" x14ac:dyDescent="0.25">
      <c r="A991" s="7"/>
      <c r="B991" s="1"/>
      <c r="C991" s="1"/>
      <c r="D991" s="1"/>
      <c r="E991" s="1"/>
      <c r="F991" s="1"/>
      <c r="G991" s="1"/>
      <c r="H991" s="3"/>
      <c r="K991" s="10"/>
      <c r="L991" s="10"/>
      <c r="M991" s="10"/>
      <c r="N991" s="10"/>
      <c r="O991" s="10"/>
      <c r="P991" s="1"/>
      <c r="Q991" s="3"/>
    </row>
    <row r="992" spans="1:18" x14ac:dyDescent="0.25">
      <c r="B992" s="1"/>
      <c r="C992" s="1"/>
      <c r="D992" s="1"/>
      <c r="E992" s="1"/>
      <c r="F992" s="1"/>
      <c r="G992" s="1"/>
      <c r="H992" s="3"/>
      <c r="I992" s="1"/>
      <c r="J992" s="1"/>
      <c r="K992" s="1"/>
      <c r="L992" s="1"/>
      <c r="M992" s="1"/>
      <c r="N992" s="1"/>
      <c r="O992" s="1"/>
      <c r="P992" s="1"/>
      <c r="Q992" s="3"/>
    </row>
    <row r="993" spans="1:18" x14ac:dyDescent="0.25">
      <c r="A993" s="7"/>
      <c r="B993" s="1"/>
      <c r="C993" s="1"/>
      <c r="D993" s="1"/>
      <c r="E993" s="1"/>
      <c r="F993" s="1"/>
      <c r="G993" s="1"/>
      <c r="H993" s="3"/>
      <c r="K993" s="10"/>
      <c r="L993" s="10"/>
      <c r="M993" s="10"/>
      <c r="N993" s="10"/>
      <c r="O993" s="10"/>
      <c r="P993" s="1"/>
      <c r="Q993" s="3"/>
    </row>
    <row r="994" spans="1:18" x14ac:dyDescent="0.25">
      <c r="B994" s="1"/>
      <c r="C994" s="1"/>
      <c r="D994" s="1"/>
      <c r="E994" s="1"/>
      <c r="F994" s="1"/>
      <c r="G994" s="1"/>
      <c r="H994" s="3"/>
      <c r="K994" s="1"/>
      <c r="L994" s="1"/>
      <c r="M994" s="1"/>
      <c r="N994" s="1"/>
      <c r="O994" s="1"/>
      <c r="P994" s="1"/>
      <c r="Q994" s="3"/>
    </row>
    <row r="995" spans="1:18" x14ac:dyDescent="0.25">
      <c r="B995" s="1"/>
      <c r="C995" s="1"/>
      <c r="D995" s="1"/>
      <c r="E995" s="1"/>
      <c r="F995" s="1"/>
      <c r="G995" s="1"/>
      <c r="H995" s="3"/>
      <c r="K995" s="1"/>
      <c r="L995" s="1"/>
      <c r="M995" s="1"/>
      <c r="N995" s="1"/>
      <c r="O995" s="1"/>
      <c r="P995" s="1"/>
      <c r="Q995" s="3"/>
    </row>
    <row r="996" spans="1:18" x14ac:dyDescent="0.25">
      <c r="B996" s="1"/>
      <c r="C996" s="1"/>
      <c r="D996" s="1"/>
      <c r="E996" s="1"/>
      <c r="F996" s="1"/>
      <c r="G996" s="1"/>
      <c r="H996" s="3"/>
      <c r="K996" s="1"/>
      <c r="L996" s="1"/>
      <c r="M996" s="1"/>
      <c r="N996" s="1"/>
      <c r="O996" s="1"/>
      <c r="P996" s="1"/>
      <c r="Q996" s="3"/>
    </row>
    <row r="997" spans="1:18" x14ac:dyDescent="0.25">
      <c r="B997" s="1"/>
      <c r="C997" s="1"/>
      <c r="D997" s="1"/>
      <c r="E997" s="1"/>
      <c r="F997" s="1"/>
      <c r="G997" s="1"/>
      <c r="H997" s="3"/>
      <c r="K997" s="1"/>
      <c r="L997" s="1"/>
      <c r="M997" s="1"/>
      <c r="N997" s="1"/>
      <c r="O997" s="1"/>
      <c r="P997" s="1"/>
      <c r="Q997" s="3"/>
    </row>
    <row r="998" spans="1:18" x14ac:dyDescent="0.25">
      <c r="K998" s="1"/>
      <c r="L998" s="1"/>
      <c r="M998" s="1"/>
      <c r="N998" s="1"/>
      <c r="O998" s="1"/>
      <c r="P998" s="1"/>
      <c r="Q998" s="3"/>
    </row>
    <row r="999" spans="1:18" x14ac:dyDescent="0.25">
      <c r="A999" s="7"/>
      <c r="B999" s="1"/>
      <c r="C999" s="1"/>
      <c r="D999" s="1"/>
      <c r="E999" s="1"/>
      <c r="F999" s="1"/>
      <c r="G999" s="1"/>
      <c r="H999" s="3"/>
      <c r="K999" s="10"/>
      <c r="L999" s="10"/>
      <c r="M999" s="10"/>
      <c r="N999" s="10"/>
      <c r="O999" s="10"/>
      <c r="P999" s="1"/>
      <c r="Q999" s="3"/>
    </row>
    <row r="1000" spans="1:18" x14ac:dyDescent="0.25">
      <c r="B1000" s="1"/>
      <c r="C1000" s="1"/>
      <c r="D1000" s="1"/>
      <c r="E1000" s="1"/>
      <c r="F1000" s="1"/>
      <c r="G1000" s="1"/>
      <c r="H1000" s="3"/>
      <c r="K1000" s="1"/>
      <c r="L1000" s="1"/>
      <c r="M1000" s="1"/>
      <c r="N1000" s="1"/>
      <c r="O1000" s="1"/>
      <c r="P1000" s="1"/>
      <c r="Q1000" s="3"/>
    </row>
    <row r="1001" spans="1:18" x14ac:dyDescent="0.25">
      <c r="B1001" s="1"/>
      <c r="C1001" s="1"/>
      <c r="D1001" s="1"/>
      <c r="E1001" s="1"/>
      <c r="F1001" s="1"/>
      <c r="G1001" s="1"/>
      <c r="H1001" s="3"/>
      <c r="K1001" s="1"/>
      <c r="L1001" s="1"/>
      <c r="M1001" s="1"/>
      <c r="N1001" s="1"/>
      <c r="O1001" s="1"/>
      <c r="P1001" s="1"/>
      <c r="Q1001" s="3"/>
    </row>
    <row r="1002" spans="1:18" x14ac:dyDescent="0.25">
      <c r="B1002" s="1"/>
      <c r="C1002" s="1"/>
      <c r="D1002" s="1"/>
      <c r="E1002" s="1"/>
      <c r="F1002" s="1"/>
      <c r="G1002" s="1"/>
      <c r="H1002" s="3"/>
      <c r="K1002" s="1"/>
      <c r="L1002" s="1"/>
      <c r="M1002" s="1"/>
      <c r="N1002" s="1"/>
      <c r="O1002" s="1"/>
      <c r="P1002" s="1"/>
      <c r="Q1002" s="3"/>
    </row>
    <row r="1003" spans="1:18" x14ac:dyDescent="0.25">
      <c r="B1003" s="1"/>
      <c r="C1003" s="1"/>
      <c r="D1003" s="1"/>
      <c r="E1003" s="1"/>
      <c r="F1003" s="1"/>
      <c r="G1003" s="1"/>
      <c r="H1003" s="3"/>
      <c r="K1003" s="1"/>
      <c r="L1003" s="1"/>
      <c r="M1003" s="1"/>
      <c r="N1003" s="1"/>
      <c r="O1003" s="1"/>
      <c r="P1003" s="1"/>
      <c r="Q1003" s="3"/>
    </row>
    <row r="1004" spans="1:18" x14ac:dyDescent="0.25">
      <c r="B1004" s="1"/>
      <c r="C1004" s="1"/>
      <c r="D1004" s="1"/>
      <c r="E1004" s="1"/>
      <c r="F1004" s="1"/>
      <c r="G1004" s="1"/>
      <c r="H1004" s="3"/>
      <c r="K1004" s="1"/>
      <c r="L1004" s="1"/>
      <c r="M1004" s="1"/>
      <c r="N1004" s="1"/>
      <c r="O1004" s="1"/>
      <c r="P1004" s="1"/>
      <c r="Q1004" s="3"/>
    </row>
    <row r="1005" spans="1:18" x14ac:dyDescent="0.25">
      <c r="B1005" s="1"/>
      <c r="C1005" s="1"/>
      <c r="D1005" s="1"/>
      <c r="E1005" s="1"/>
      <c r="F1005" s="1"/>
      <c r="G1005" s="1"/>
      <c r="H1005" s="3"/>
      <c r="K1005" s="1"/>
      <c r="L1005" s="1"/>
      <c r="M1005" s="1"/>
      <c r="N1005" s="1"/>
      <c r="O1005" s="1"/>
      <c r="P1005" s="1"/>
      <c r="Q1005" s="3"/>
    </row>
    <row r="1006" spans="1:18" x14ac:dyDescent="0.25">
      <c r="B1006" s="1"/>
      <c r="C1006" s="1"/>
      <c r="D1006" s="1"/>
      <c r="E1006" s="1"/>
      <c r="F1006" s="1"/>
      <c r="G1006" s="1"/>
      <c r="H1006" s="3"/>
      <c r="I1006" s="1"/>
      <c r="J1006" s="1"/>
      <c r="K1006" s="1"/>
      <c r="L1006" s="1"/>
      <c r="M1006" s="1"/>
      <c r="N1006" s="1"/>
      <c r="O1006" s="1"/>
      <c r="P1006" s="1"/>
      <c r="Q1006" s="3"/>
    </row>
    <row r="1007" spans="1:18" x14ac:dyDescent="0.25">
      <c r="B1007" s="1"/>
      <c r="C1007" s="1"/>
      <c r="D1007" s="1"/>
      <c r="E1007" s="1"/>
      <c r="F1007" s="1"/>
      <c r="G1007" s="1"/>
      <c r="H1007" s="3"/>
      <c r="K1007" s="1"/>
      <c r="L1007" s="1"/>
      <c r="M1007" s="1"/>
      <c r="N1007" s="1"/>
      <c r="O1007" s="1"/>
      <c r="P1007" s="1"/>
      <c r="Q1007" s="3"/>
    </row>
    <row r="1008" spans="1:18" x14ac:dyDescent="0.25">
      <c r="B1008" s="1"/>
      <c r="C1008" s="1"/>
      <c r="D1008" s="1"/>
      <c r="E1008" s="1"/>
      <c r="F1008" s="1"/>
      <c r="G1008" s="1"/>
      <c r="H1008" s="3"/>
      <c r="I1008" s="1"/>
      <c r="J1008" s="1"/>
      <c r="K1008" s="1"/>
      <c r="L1008" s="1"/>
      <c r="M1008" s="1"/>
      <c r="N1008" s="1"/>
      <c r="O1008" s="1"/>
      <c r="P1008" s="1"/>
      <c r="Q1008" s="3"/>
      <c r="R1008" s="1"/>
    </row>
    <row r="1009" spans="1:18" x14ac:dyDescent="0.25">
      <c r="B1009" s="1"/>
      <c r="C1009" s="1"/>
      <c r="D1009" s="1"/>
      <c r="E1009" s="1"/>
      <c r="F1009" s="1"/>
      <c r="G1009" s="1"/>
      <c r="H1009" s="3"/>
      <c r="I1009" s="1"/>
      <c r="J1009" s="1"/>
      <c r="K1009" s="1"/>
      <c r="L1009" s="1"/>
      <c r="M1009" s="1"/>
      <c r="N1009" s="1"/>
      <c r="O1009" s="1"/>
      <c r="P1009" s="1"/>
      <c r="Q1009" s="3"/>
      <c r="R1009" s="1"/>
    </row>
    <row r="1010" spans="1:18" x14ac:dyDescent="0.25">
      <c r="B1010" s="1"/>
      <c r="C1010" s="1"/>
      <c r="D1010" s="1"/>
      <c r="E1010" s="1"/>
      <c r="F1010" s="1"/>
      <c r="G1010" s="1"/>
      <c r="H1010" s="3"/>
      <c r="I1010" s="1"/>
      <c r="J1010" s="1"/>
      <c r="K1010" s="1"/>
      <c r="L1010" s="1"/>
      <c r="M1010" s="1"/>
      <c r="N1010" s="1"/>
      <c r="O1010" s="1"/>
      <c r="P1010" s="1"/>
      <c r="Q1010" s="3"/>
      <c r="R1010" s="1"/>
    </row>
    <row r="1011" spans="1:18" x14ac:dyDescent="0.25">
      <c r="B1011" s="1"/>
      <c r="C1011" s="1"/>
      <c r="D1011" s="1"/>
      <c r="E1011" s="1"/>
      <c r="F1011" s="1"/>
      <c r="G1011" s="8"/>
      <c r="H1011" s="9"/>
      <c r="K1011" s="1"/>
      <c r="L1011" s="1"/>
      <c r="M1011" s="1"/>
      <c r="N1011" s="1"/>
      <c r="O1011" s="1"/>
      <c r="P1011" s="1"/>
      <c r="Q1011" s="3"/>
    </row>
    <row r="1012" spans="1:18" x14ac:dyDescent="0.25">
      <c r="B1012" s="1"/>
      <c r="C1012" s="1"/>
      <c r="D1012" s="1"/>
      <c r="E1012" s="1"/>
      <c r="F1012" s="1"/>
      <c r="G1012" s="1"/>
      <c r="H1012" s="3"/>
      <c r="K1012" s="1"/>
      <c r="L1012" s="1"/>
      <c r="M1012" s="1"/>
      <c r="N1012" s="1"/>
      <c r="O1012" s="1"/>
      <c r="P1012" s="1"/>
      <c r="Q1012" s="3"/>
    </row>
    <row r="1013" spans="1:18" x14ac:dyDescent="0.25">
      <c r="B1013" s="1"/>
      <c r="C1013" s="1"/>
      <c r="D1013" s="1"/>
      <c r="E1013" s="1"/>
      <c r="F1013" s="1"/>
      <c r="G1013" s="1"/>
      <c r="H1013" s="3"/>
      <c r="K1013" s="1"/>
      <c r="L1013" s="1"/>
      <c r="M1013" s="1"/>
      <c r="N1013" s="1"/>
      <c r="O1013" s="1"/>
      <c r="P1013" s="1"/>
      <c r="Q1013" s="3"/>
    </row>
    <row r="1014" spans="1:18" x14ac:dyDescent="0.25">
      <c r="B1014" s="1"/>
      <c r="C1014" s="1"/>
      <c r="D1014" s="1"/>
      <c r="E1014" s="1"/>
      <c r="F1014" s="1"/>
      <c r="G1014" s="1"/>
      <c r="H1014" s="3"/>
      <c r="I1014" s="1"/>
      <c r="J1014" s="1"/>
      <c r="K1014" s="1"/>
      <c r="L1014" s="1"/>
      <c r="M1014" s="1"/>
      <c r="N1014" s="1"/>
      <c r="O1014" s="1"/>
      <c r="P1014" s="1"/>
      <c r="Q1014" s="3"/>
      <c r="R1014" s="1"/>
    </row>
    <row r="1015" spans="1:18" x14ac:dyDescent="0.25">
      <c r="A1015" s="7"/>
      <c r="B1015" s="1"/>
      <c r="C1015" s="1"/>
      <c r="D1015" s="1"/>
      <c r="E1015" s="1"/>
      <c r="F1015" s="1"/>
      <c r="G1015" s="1"/>
      <c r="H1015" s="3"/>
      <c r="K1015" s="10"/>
      <c r="L1015" s="10"/>
      <c r="M1015" s="10"/>
      <c r="N1015" s="10"/>
      <c r="O1015" s="10"/>
      <c r="P1015" s="1"/>
      <c r="Q1015" s="3"/>
    </row>
    <row r="1016" spans="1:18" x14ac:dyDescent="0.25">
      <c r="B1016" s="1"/>
      <c r="C1016" s="1"/>
      <c r="D1016" s="1"/>
      <c r="E1016" s="1"/>
      <c r="F1016" s="1"/>
      <c r="G1016" s="1"/>
      <c r="H1016" s="3"/>
      <c r="K1016" s="1"/>
      <c r="L1016" s="1"/>
      <c r="M1016" s="1"/>
      <c r="N1016" s="1"/>
      <c r="O1016" s="1"/>
      <c r="P1016" s="1"/>
      <c r="Q1016" s="3"/>
    </row>
    <row r="1017" spans="1:18" x14ac:dyDescent="0.25">
      <c r="A1017" s="7"/>
      <c r="B1017" s="1"/>
      <c r="C1017" s="1"/>
      <c r="D1017" s="1"/>
      <c r="E1017" s="1"/>
      <c r="F1017" s="1"/>
      <c r="G1017" s="1"/>
      <c r="H1017" s="3"/>
      <c r="K1017" s="10"/>
      <c r="L1017" s="10"/>
      <c r="M1017" s="10"/>
      <c r="N1017" s="10"/>
      <c r="O1017" s="10"/>
      <c r="P1017" s="1"/>
      <c r="Q1017" s="3"/>
    </row>
    <row r="1018" spans="1:18" x14ac:dyDescent="0.25">
      <c r="A1018" s="7"/>
      <c r="B1018" s="1"/>
      <c r="C1018" s="1"/>
      <c r="D1018" s="1"/>
      <c r="E1018" s="1"/>
      <c r="F1018" s="1"/>
      <c r="G1018" s="1"/>
      <c r="H1018" s="3"/>
      <c r="K1018" s="10"/>
      <c r="L1018" s="10"/>
      <c r="M1018" s="10"/>
      <c r="N1018" s="10"/>
      <c r="O1018" s="10"/>
      <c r="P1018" s="1"/>
      <c r="Q1018" s="3"/>
    </row>
    <row r="1019" spans="1:18" x14ac:dyDescent="0.25">
      <c r="B1019" s="1"/>
      <c r="C1019" s="1"/>
      <c r="D1019" s="1"/>
      <c r="E1019" s="1"/>
      <c r="F1019" s="1"/>
      <c r="G1019" s="1"/>
      <c r="H1019" s="3"/>
      <c r="I1019" s="1"/>
      <c r="J1019" s="1"/>
      <c r="K1019" s="1"/>
      <c r="L1019" s="1"/>
      <c r="M1019" s="1"/>
      <c r="N1019" s="1"/>
      <c r="O1019" s="1"/>
      <c r="P1019" s="1"/>
      <c r="Q1019" s="3"/>
      <c r="R1019" s="1"/>
    </row>
    <row r="1020" spans="1:18" x14ac:dyDescent="0.25">
      <c r="B1020" s="1"/>
      <c r="C1020" s="1"/>
      <c r="D1020" s="1"/>
      <c r="E1020" s="1"/>
      <c r="F1020" s="1"/>
      <c r="G1020" s="1"/>
      <c r="H1020" s="3"/>
      <c r="K1020" s="1"/>
      <c r="L1020" s="1"/>
      <c r="M1020" s="1"/>
      <c r="N1020" s="1"/>
      <c r="O1020" s="1"/>
      <c r="P1020" s="1"/>
      <c r="Q1020" s="3"/>
    </row>
    <row r="1021" spans="1:18" x14ac:dyDescent="0.25">
      <c r="B1021" s="1"/>
      <c r="C1021" s="1"/>
      <c r="D1021" s="1"/>
      <c r="E1021" s="1"/>
      <c r="F1021" s="1"/>
      <c r="G1021" s="1"/>
      <c r="H1021" s="3"/>
      <c r="K1021" s="1"/>
      <c r="L1021" s="1"/>
      <c r="M1021" s="1"/>
      <c r="N1021" s="1"/>
      <c r="O1021" s="1"/>
      <c r="P1021" s="1"/>
      <c r="Q1021" s="3"/>
    </row>
    <row r="1022" spans="1:18" x14ac:dyDescent="0.25">
      <c r="B1022" s="1"/>
      <c r="C1022" s="1"/>
      <c r="D1022" s="1"/>
      <c r="E1022" s="1"/>
      <c r="F1022" s="1"/>
      <c r="G1022" s="1"/>
      <c r="H1022" s="3"/>
      <c r="K1022" s="1"/>
      <c r="L1022" s="1"/>
      <c r="M1022" s="1"/>
      <c r="N1022" s="1"/>
      <c r="O1022" s="1"/>
      <c r="P1022" s="1"/>
      <c r="Q1022" s="3"/>
    </row>
    <row r="1023" spans="1:18" x14ac:dyDescent="0.25">
      <c r="B1023" s="1"/>
      <c r="C1023" s="1"/>
      <c r="D1023" s="1"/>
      <c r="E1023" s="1"/>
      <c r="F1023" s="1"/>
      <c r="G1023" s="1"/>
      <c r="H1023" s="3"/>
      <c r="K1023" s="1"/>
      <c r="L1023" s="1"/>
      <c r="M1023" s="1"/>
      <c r="N1023" s="1"/>
      <c r="O1023" s="1"/>
      <c r="P1023" s="1"/>
      <c r="Q1023" s="3"/>
    </row>
    <row r="1024" spans="1:18" x14ac:dyDescent="0.25">
      <c r="B1024" s="1"/>
      <c r="C1024" s="1"/>
      <c r="D1024" s="1"/>
      <c r="E1024" s="1"/>
      <c r="F1024" s="1"/>
      <c r="G1024" s="1"/>
      <c r="H1024" s="3"/>
      <c r="K1024" s="1"/>
      <c r="L1024" s="1"/>
      <c r="M1024" s="1"/>
      <c r="N1024" s="1"/>
      <c r="O1024" s="1"/>
      <c r="P1024" s="1"/>
      <c r="Q1024" s="3"/>
    </row>
    <row r="1025" spans="2:18" x14ac:dyDescent="0.25">
      <c r="B1025" s="1"/>
      <c r="C1025" s="1"/>
      <c r="D1025" s="1"/>
      <c r="E1025" s="1"/>
      <c r="F1025" s="1"/>
      <c r="G1025" s="1"/>
      <c r="H1025" s="3"/>
      <c r="I1025" s="1"/>
      <c r="J1025" s="1"/>
      <c r="K1025" s="1"/>
      <c r="L1025" s="1"/>
      <c r="M1025" s="1"/>
      <c r="N1025" s="1"/>
      <c r="O1025" s="1"/>
      <c r="P1025" s="1"/>
      <c r="Q1025" s="3"/>
    </row>
    <row r="1026" spans="2:18" x14ac:dyDescent="0.25">
      <c r="B1026" s="1"/>
      <c r="C1026" s="1"/>
      <c r="D1026" s="1"/>
      <c r="E1026" s="1"/>
      <c r="F1026" s="1"/>
      <c r="G1026" s="1"/>
      <c r="H1026" s="3"/>
      <c r="I1026" s="1"/>
      <c r="J1026" s="1"/>
      <c r="K1026" s="1"/>
      <c r="L1026" s="1"/>
      <c r="M1026" s="1"/>
      <c r="N1026" s="1"/>
      <c r="O1026" s="1"/>
      <c r="P1026" s="1"/>
      <c r="Q1026" s="3"/>
    </row>
    <row r="1027" spans="2:18" x14ac:dyDescent="0.25">
      <c r="B1027" s="1"/>
      <c r="C1027" s="1"/>
      <c r="D1027" s="1"/>
      <c r="E1027" s="1"/>
      <c r="F1027" s="1"/>
      <c r="G1027" s="8"/>
      <c r="H1027" s="9"/>
      <c r="K1027" s="1"/>
      <c r="L1027" s="1"/>
      <c r="M1027" s="1"/>
      <c r="N1027" s="1"/>
      <c r="O1027" s="1"/>
      <c r="P1027" s="1"/>
      <c r="Q1027" s="3"/>
    </row>
    <row r="1028" spans="2:18" x14ac:dyDescent="0.25">
      <c r="B1028" s="1"/>
      <c r="C1028" s="1"/>
      <c r="D1028" s="1"/>
      <c r="E1028" s="1"/>
      <c r="F1028" s="1"/>
      <c r="G1028" s="1"/>
      <c r="H1028" s="3"/>
      <c r="I1028" s="1"/>
      <c r="J1028" s="1"/>
      <c r="K1028" s="1"/>
      <c r="L1028" s="1"/>
      <c r="M1028" s="1"/>
      <c r="N1028" s="1"/>
      <c r="O1028" s="1"/>
      <c r="P1028" s="1"/>
      <c r="Q1028" s="3"/>
      <c r="R1028" s="1"/>
    </row>
    <row r="1029" spans="2:18" x14ac:dyDescent="0.25">
      <c r="K1029" s="1"/>
      <c r="L1029" s="1"/>
      <c r="M1029" s="1"/>
      <c r="N1029" s="1"/>
      <c r="O1029" s="1"/>
      <c r="P1029" s="1"/>
      <c r="Q1029" s="3"/>
    </row>
    <row r="1030" spans="2:18" x14ac:dyDescent="0.25">
      <c r="B1030" s="1"/>
      <c r="C1030" s="1"/>
      <c r="D1030" s="1"/>
      <c r="E1030" s="1"/>
      <c r="F1030" s="1"/>
      <c r="G1030" s="1"/>
      <c r="H1030" s="3"/>
      <c r="K1030" s="1"/>
      <c r="L1030" s="1"/>
      <c r="M1030" s="1"/>
      <c r="N1030" s="1"/>
      <c r="O1030" s="1"/>
      <c r="P1030" s="1"/>
      <c r="Q1030" s="3"/>
    </row>
    <row r="1031" spans="2:18" x14ac:dyDescent="0.25">
      <c r="B1031" s="1"/>
      <c r="C1031" s="1"/>
      <c r="D1031" s="1"/>
      <c r="E1031" s="1"/>
      <c r="F1031" s="1"/>
      <c r="G1031" s="1"/>
      <c r="H1031" s="3"/>
      <c r="I1031" s="1"/>
      <c r="J1031" s="1"/>
      <c r="K1031" s="1"/>
      <c r="L1031" s="1"/>
      <c r="M1031" s="1"/>
      <c r="N1031" s="1"/>
      <c r="O1031" s="1"/>
      <c r="P1031" s="1"/>
      <c r="Q1031" s="3"/>
    </row>
    <row r="1032" spans="2:18" x14ac:dyDescent="0.25">
      <c r="B1032" s="1"/>
      <c r="C1032" s="1"/>
      <c r="D1032" s="1"/>
      <c r="E1032" s="1"/>
      <c r="F1032" s="1"/>
      <c r="G1032" s="1"/>
      <c r="H1032" s="3"/>
      <c r="K1032" s="1"/>
      <c r="L1032" s="1"/>
      <c r="M1032" s="1"/>
      <c r="N1032" s="1"/>
      <c r="O1032" s="1"/>
      <c r="P1032" s="1"/>
      <c r="Q1032" s="3"/>
    </row>
    <row r="1033" spans="2:18" x14ac:dyDescent="0.25">
      <c r="B1033" s="1"/>
      <c r="C1033" s="1"/>
      <c r="D1033" s="1"/>
      <c r="E1033" s="1"/>
      <c r="F1033" s="1"/>
      <c r="G1033" s="1"/>
      <c r="H1033" s="3"/>
      <c r="K1033" s="1"/>
      <c r="L1033" s="1"/>
      <c r="M1033" s="1"/>
      <c r="N1033" s="1"/>
      <c r="O1033" s="1"/>
      <c r="P1033" s="1"/>
      <c r="Q1033" s="3"/>
    </row>
    <row r="1034" spans="2:18" x14ac:dyDescent="0.25">
      <c r="K1034" s="1"/>
      <c r="L1034" s="1"/>
      <c r="M1034" s="1"/>
      <c r="N1034" s="1"/>
      <c r="O1034" s="1"/>
      <c r="P1034" s="1"/>
      <c r="Q1034" s="3"/>
    </row>
    <row r="1035" spans="2:18" x14ac:dyDescent="0.25">
      <c r="B1035" s="1"/>
      <c r="C1035" s="1"/>
      <c r="D1035" s="1"/>
      <c r="E1035" s="1"/>
      <c r="F1035" s="1"/>
      <c r="G1035" s="1"/>
      <c r="H1035" s="3"/>
      <c r="K1035" s="1"/>
      <c r="L1035" s="1"/>
      <c r="M1035" s="1"/>
      <c r="N1035" s="1"/>
      <c r="O1035" s="1"/>
      <c r="P1035" s="1"/>
      <c r="Q1035" s="3"/>
    </row>
    <row r="1036" spans="2:18" x14ac:dyDescent="0.25">
      <c r="B1036" s="1"/>
      <c r="C1036" s="1"/>
      <c r="D1036" s="1"/>
      <c r="E1036" s="1"/>
      <c r="F1036" s="1"/>
      <c r="G1036" s="1"/>
      <c r="H1036" s="3"/>
      <c r="K1036" s="1"/>
      <c r="L1036" s="1"/>
      <c r="M1036" s="1"/>
      <c r="N1036" s="1"/>
      <c r="O1036" s="1"/>
      <c r="P1036" s="1"/>
      <c r="Q1036" s="3"/>
    </row>
    <row r="1037" spans="2:18" x14ac:dyDescent="0.25">
      <c r="B1037" s="1"/>
      <c r="C1037" s="1"/>
      <c r="D1037" s="1"/>
      <c r="E1037" s="1"/>
      <c r="F1037" s="1"/>
      <c r="G1037" s="1"/>
      <c r="H1037" s="3"/>
      <c r="K1037" s="1"/>
      <c r="L1037" s="1"/>
      <c r="M1037" s="1"/>
      <c r="N1037" s="1"/>
      <c r="O1037" s="1"/>
      <c r="P1037" s="1"/>
      <c r="Q1037" s="3"/>
    </row>
    <row r="1038" spans="2:18" x14ac:dyDescent="0.25">
      <c r="B1038" s="1"/>
      <c r="C1038" s="1"/>
      <c r="D1038" s="1"/>
      <c r="E1038" s="1"/>
      <c r="F1038" s="1"/>
      <c r="G1038" s="1"/>
      <c r="H1038" s="3"/>
      <c r="K1038" s="1"/>
      <c r="L1038" s="1"/>
      <c r="M1038" s="1"/>
      <c r="N1038" s="1"/>
      <c r="O1038" s="1"/>
      <c r="P1038" s="1"/>
      <c r="Q1038" s="3"/>
    </row>
    <row r="1039" spans="2:18" x14ac:dyDescent="0.25">
      <c r="B1039" s="1"/>
      <c r="C1039" s="1"/>
      <c r="D1039" s="1"/>
      <c r="E1039" s="1"/>
      <c r="F1039" s="1"/>
      <c r="G1039" s="1"/>
      <c r="H1039" s="3"/>
      <c r="K1039" s="1"/>
      <c r="L1039" s="1"/>
      <c r="M1039" s="1"/>
      <c r="N1039" s="1"/>
      <c r="O1039" s="1"/>
      <c r="P1039" s="1"/>
      <c r="Q1039" s="3"/>
    </row>
    <row r="1040" spans="2:18" x14ac:dyDescent="0.25">
      <c r="B1040" s="1"/>
      <c r="C1040" s="1"/>
      <c r="D1040" s="1"/>
      <c r="E1040" s="1"/>
      <c r="F1040" s="1"/>
      <c r="G1040" s="1"/>
      <c r="H1040" s="3"/>
      <c r="K1040" s="1"/>
      <c r="L1040" s="1"/>
      <c r="M1040" s="1"/>
      <c r="N1040" s="1"/>
      <c r="O1040" s="1"/>
      <c r="P1040" s="1"/>
      <c r="Q1040" s="3"/>
    </row>
    <row r="1041" spans="2:18" x14ac:dyDescent="0.25">
      <c r="B1041" s="1"/>
      <c r="C1041" s="1"/>
      <c r="D1041" s="1"/>
      <c r="E1041" s="1"/>
      <c r="F1041" s="1"/>
      <c r="G1041" s="1"/>
      <c r="H1041" s="3"/>
      <c r="I1041" s="1"/>
      <c r="J1041" s="1"/>
      <c r="K1041" s="1"/>
      <c r="L1041" s="1"/>
      <c r="M1041" s="1"/>
      <c r="N1041" s="1"/>
      <c r="O1041" s="1"/>
      <c r="P1041" s="1"/>
      <c r="Q1041" s="3"/>
    </row>
    <row r="1042" spans="2:18" x14ac:dyDescent="0.25">
      <c r="B1042" s="1"/>
      <c r="C1042" s="1"/>
      <c r="D1042" s="1"/>
      <c r="E1042" s="1"/>
      <c r="F1042" s="1"/>
      <c r="G1042" s="1"/>
      <c r="H1042" s="3"/>
      <c r="K1042" s="1"/>
      <c r="L1042" s="1"/>
      <c r="M1042" s="1"/>
      <c r="N1042" s="1"/>
      <c r="O1042" s="1"/>
      <c r="P1042" s="1"/>
      <c r="Q1042" s="3"/>
    </row>
    <row r="1043" spans="2:18" x14ac:dyDescent="0.25">
      <c r="B1043" s="1"/>
      <c r="C1043" s="1"/>
      <c r="D1043" s="1"/>
      <c r="E1043" s="1"/>
      <c r="F1043" s="1"/>
      <c r="G1043" s="1"/>
      <c r="H1043" s="3"/>
      <c r="K1043" s="1"/>
      <c r="L1043" s="1"/>
      <c r="M1043" s="1"/>
      <c r="N1043" s="1"/>
      <c r="O1043" s="1"/>
      <c r="P1043" s="1"/>
      <c r="Q1043" s="3"/>
    </row>
    <row r="1044" spans="2:18" x14ac:dyDescent="0.25">
      <c r="B1044" s="1"/>
      <c r="C1044" s="1"/>
      <c r="D1044" s="1"/>
      <c r="E1044" s="1"/>
      <c r="F1044" s="1"/>
      <c r="G1044" s="1"/>
      <c r="H1044" s="3"/>
      <c r="I1044" s="1"/>
      <c r="J1044" s="1"/>
      <c r="K1044" s="1"/>
      <c r="L1044" s="1"/>
      <c r="M1044" s="1"/>
      <c r="N1044" s="1"/>
      <c r="O1044" s="1"/>
      <c r="P1044" s="1"/>
      <c r="Q1044" s="3"/>
      <c r="R1044" s="1"/>
    </row>
    <row r="1045" spans="2:18" x14ac:dyDescent="0.25">
      <c r="B1045" s="1"/>
      <c r="C1045" s="1"/>
      <c r="D1045" s="1"/>
      <c r="E1045" s="1"/>
      <c r="F1045" s="1"/>
      <c r="G1045" s="1"/>
      <c r="H1045" s="3"/>
      <c r="K1045" s="1"/>
      <c r="L1045" s="1"/>
      <c r="M1045" s="1"/>
      <c r="N1045" s="1"/>
      <c r="O1045" s="1"/>
      <c r="P1045" s="1"/>
      <c r="Q1045" s="3"/>
    </row>
    <row r="1046" spans="2:18" x14ac:dyDescent="0.25">
      <c r="B1046" s="1"/>
      <c r="C1046" s="1"/>
      <c r="D1046" s="1"/>
      <c r="E1046" s="1"/>
      <c r="F1046" s="1"/>
      <c r="G1046" s="1"/>
      <c r="H1046" s="3"/>
      <c r="I1046" s="1"/>
      <c r="J1046" s="1"/>
      <c r="K1046" s="1"/>
      <c r="L1046" s="1"/>
      <c r="M1046" s="1"/>
      <c r="N1046" s="1"/>
      <c r="O1046" s="1"/>
      <c r="P1046" s="1"/>
      <c r="Q1046" s="3"/>
    </row>
    <row r="1047" spans="2:18" x14ac:dyDescent="0.25">
      <c r="K1047" s="1"/>
      <c r="L1047" s="1"/>
      <c r="M1047" s="1"/>
      <c r="N1047" s="1"/>
      <c r="O1047" s="1"/>
      <c r="P1047" s="1"/>
      <c r="Q1047" s="3"/>
    </row>
    <row r="1048" spans="2:18" x14ac:dyDescent="0.25">
      <c r="B1048" s="1"/>
      <c r="C1048" s="1"/>
      <c r="D1048" s="1"/>
      <c r="E1048" s="1"/>
      <c r="F1048" s="1"/>
      <c r="G1048" s="1"/>
      <c r="H1048" s="3"/>
      <c r="K1048" s="1"/>
      <c r="L1048" s="1"/>
      <c r="M1048" s="1"/>
      <c r="N1048" s="1"/>
      <c r="O1048" s="1"/>
      <c r="P1048" s="1"/>
      <c r="Q1048" s="3"/>
    </row>
    <row r="1049" spans="2:18" x14ac:dyDescent="0.25">
      <c r="K1049" s="1"/>
      <c r="L1049" s="1"/>
      <c r="M1049" s="1"/>
      <c r="N1049" s="1"/>
      <c r="O1049" s="1"/>
      <c r="P1049" s="1"/>
      <c r="Q1049" s="3"/>
    </row>
    <row r="1050" spans="2:18" x14ac:dyDescent="0.25">
      <c r="B1050" s="1"/>
      <c r="C1050" s="1"/>
      <c r="D1050" s="1"/>
      <c r="E1050" s="1"/>
      <c r="F1050" s="1"/>
      <c r="G1050" s="1"/>
      <c r="H1050" s="3"/>
      <c r="K1050" s="1"/>
      <c r="L1050" s="1"/>
      <c r="M1050" s="1"/>
      <c r="N1050" s="1"/>
      <c r="O1050" s="1"/>
      <c r="P1050" s="1"/>
      <c r="Q1050" s="3"/>
    </row>
    <row r="1051" spans="2:18" x14ac:dyDescent="0.25">
      <c r="B1051" s="1"/>
      <c r="C1051" s="1"/>
      <c r="D1051" s="1"/>
      <c r="E1051" s="1"/>
      <c r="F1051" s="1"/>
      <c r="G1051" s="1"/>
      <c r="H1051" s="3"/>
      <c r="I1051" s="1"/>
      <c r="J1051" s="1"/>
      <c r="K1051" s="1"/>
      <c r="L1051" s="1"/>
      <c r="M1051" s="1"/>
      <c r="N1051" s="1"/>
      <c r="O1051" s="1"/>
      <c r="P1051" s="1"/>
      <c r="Q1051" s="3"/>
      <c r="R1051" s="1"/>
    </row>
    <row r="1052" spans="2:18" x14ac:dyDescent="0.25">
      <c r="K1052" s="1"/>
      <c r="L1052" s="1"/>
      <c r="M1052" s="1"/>
      <c r="N1052" s="1"/>
      <c r="O1052" s="1"/>
      <c r="P1052" s="1"/>
      <c r="Q1052" s="3"/>
    </row>
    <row r="1053" spans="2:18" x14ac:dyDescent="0.25">
      <c r="K1053" s="1"/>
      <c r="L1053" s="1"/>
      <c r="M1053" s="1"/>
      <c r="N1053" s="1"/>
      <c r="O1053" s="1"/>
      <c r="P1053" s="1"/>
      <c r="Q1053" s="3"/>
    </row>
    <row r="1054" spans="2:18" x14ac:dyDescent="0.25">
      <c r="B1054" s="1"/>
      <c r="C1054" s="1"/>
      <c r="D1054" s="1"/>
      <c r="E1054" s="1"/>
      <c r="F1054" s="1"/>
      <c r="G1054" s="1"/>
      <c r="H1054" s="3"/>
      <c r="K1054" s="1"/>
      <c r="L1054" s="1"/>
      <c r="M1054" s="1"/>
      <c r="N1054" s="1"/>
      <c r="O1054" s="1"/>
      <c r="P1054" s="1"/>
      <c r="Q1054" s="3"/>
    </row>
    <row r="1055" spans="2:18" x14ac:dyDescent="0.25">
      <c r="B1055" s="1"/>
      <c r="C1055" s="1"/>
      <c r="D1055" s="1"/>
      <c r="E1055" s="1"/>
      <c r="F1055" s="1"/>
      <c r="G1055" s="1"/>
      <c r="H1055" s="3"/>
      <c r="I1055" s="1"/>
      <c r="J1055" s="1"/>
      <c r="K1055" s="1"/>
      <c r="L1055" s="1"/>
      <c r="M1055" s="1"/>
      <c r="N1055" s="1"/>
      <c r="O1055" s="1"/>
      <c r="P1055" s="1"/>
      <c r="Q1055" s="3"/>
    </row>
    <row r="1056" spans="2:18" x14ac:dyDescent="0.25">
      <c r="B1056" s="1"/>
      <c r="C1056" s="1"/>
      <c r="D1056" s="1"/>
      <c r="E1056" s="1"/>
      <c r="F1056" s="1"/>
      <c r="G1056" s="1"/>
      <c r="H1056" s="3"/>
      <c r="K1056" s="1"/>
      <c r="L1056" s="1"/>
      <c r="M1056" s="1"/>
      <c r="N1056" s="1"/>
      <c r="O1056" s="1"/>
      <c r="P1056" s="1"/>
      <c r="Q1056" s="3"/>
    </row>
    <row r="1057" spans="1:18" x14ac:dyDescent="0.25">
      <c r="B1057" s="1"/>
      <c r="C1057" s="1"/>
      <c r="D1057" s="1"/>
      <c r="E1057" s="1"/>
      <c r="F1057" s="1"/>
      <c r="G1057" s="1"/>
      <c r="H1057" s="3"/>
      <c r="K1057" s="1"/>
      <c r="L1057" s="1"/>
      <c r="M1057" s="1"/>
      <c r="N1057" s="1"/>
      <c r="O1057" s="1"/>
      <c r="P1057" s="1"/>
      <c r="Q1057" s="3"/>
    </row>
    <row r="1058" spans="1:18" x14ac:dyDescent="0.25">
      <c r="B1058" s="1"/>
      <c r="C1058" s="1"/>
      <c r="D1058" s="1"/>
      <c r="E1058" s="1"/>
      <c r="F1058" s="1"/>
      <c r="G1058" s="1"/>
      <c r="H1058" s="3"/>
      <c r="I1058" s="1"/>
      <c r="J1058" s="1"/>
      <c r="K1058" s="1"/>
      <c r="L1058" s="1"/>
      <c r="M1058" s="1"/>
      <c r="N1058" s="1"/>
      <c r="O1058" s="1"/>
      <c r="P1058" s="1"/>
      <c r="Q1058" s="3"/>
      <c r="R1058" s="1"/>
    </row>
    <row r="1059" spans="1:18" x14ac:dyDescent="0.25">
      <c r="B1059" s="1"/>
      <c r="C1059" s="1"/>
      <c r="D1059" s="1"/>
      <c r="E1059" s="1"/>
      <c r="F1059" s="1"/>
      <c r="G1059" s="1"/>
      <c r="H1059" s="3"/>
      <c r="I1059" s="1"/>
      <c r="J1059" s="1"/>
      <c r="K1059" s="1"/>
      <c r="L1059" s="1"/>
      <c r="M1059" s="1"/>
      <c r="N1059" s="1"/>
      <c r="O1059" s="1"/>
      <c r="P1059" s="1"/>
      <c r="Q1059" s="3"/>
    </row>
    <row r="1060" spans="1:18" x14ac:dyDescent="0.25">
      <c r="B1060" s="1"/>
      <c r="C1060" s="1"/>
      <c r="D1060" s="1"/>
      <c r="E1060" s="1"/>
      <c r="F1060" s="1"/>
      <c r="G1060" s="1"/>
      <c r="H1060" s="3"/>
      <c r="K1060" s="1"/>
      <c r="L1060" s="1"/>
      <c r="M1060" s="1"/>
      <c r="N1060" s="1"/>
      <c r="O1060" s="1"/>
      <c r="P1060" s="1"/>
      <c r="Q1060" s="3"/>
    </row>
    <row r="1061" spans="1:18" x14ac:dyDescent="0.25">
      <c r="B1061" s="1"/>
      <c r="C1061" s="1"/>
      <c r="D1061" s="1"/>
      <c r="E1061" s="1"/>
      <c r="F1061" s="1"/>
      <c r="G1061" s="8"/>
      <c r="H1061" s="9"/>
      <c r="K1061" s="1"/>
      <c r="L1061" s="1"/>
      <c r="M1061" s="1"/>
      <c r="N1061" s="1"/>
      <c r="O1061" s="1"/>
      <c r="P1061" s="1"/>
      <c r="Q1061" s="3"/>
    </row>
    <row r="1062" spans="1:18" x14ac:dyDescent="0.25">
      <c r="B1062" s="1"/>
      <c r="C1062" s="1"/>
      <c r="D1062" s="1"/>
      <c r="E1062" s="1"/>
      <c r="F1062" s="1"/>
      <c r="G1062" s="1"/>
      <c r="H1062" s="3"/>
      <c r="K1062" s="1"/>
      <c r="L1062" s="1"/>
      <c r="M1062" s="1"/>
      <c r="N1062" s="1"/>
      <c r="O1062" s="1"/>
      <c r="P1062" s="1"/>
      <c r="Q1062" s="3"/>
    </row>
    <row r="1063" spans="1:18" x14ac:dyDescent="0.25">
      <c r="B1063" s="1"/>
      <c r="C1063" s="1"/>
      <c r="D1063" s="1"/>
      <c r="E1063" s="1"/>
      <c r="F1063" s="1"/>
      <c r="G1063" s="1"/>
      <c r="H1063" s="3"/>
      <c r="K1063" s="1"/>
      <c r="L1063" s="1"/>
      <c r="M1063" s="1"/>
      <c r="N1063" s="1"/>
      <c r="O1063" s="1"/>
      <c r="P1063" s="1"/>
      <c r="Q1063" s="3"/>
    </row>
    <row r="1064" spans="1:18" x14ac:dyDescent="0.25">
      <c r="B1064" s="1"/>
      <c r="C1064" s="1"/>
      <c r="D1064" s="1"/>
      <c r="E1064" s="1"/>
      <c r="F1064" s="1"/>
      <c r="G1064" s="1"/>
      <c r="H1064" s="3"/>
      <c r="K1064" s="1"/>
      <c r="L1064" s="1"/>
      <c r="M1064" s="1"/>
      <c r="N1064" s="1"/>
      <c r="O1064" s="1"/>
      <c r="P1064" s="1"/>
      <c r="Q1064" s="3"/>
    </row>
    <row r="1065" spans="1:18" x14ac:dyDescent="0.25">
      <c r="A1065" s="7"/>
      <c r="B1065" s="1"/>
      <c r="C1065" s="1"/>
      <c r="D1065" s="1"/>
      <c r="E1065" s="1"/>
      <c r="F1065" s="1"/>
      <c r="G1065" s="1"/>
      <c r="H1065" s="3"/>
      <c r="K1065" s="10"/>
      <c r="L1065" s="10"/>
      <c r="M1065" s="10"/>
      <c r="N1065" s="10"/>
      <c r="O1065" s="10"/>
      <c r="P1065" s="1"/>
      <c r="Q1065" s="3"/>
    </row>
    <row r="1066" spans="1:18" x14ac:dyDescent="0.25">
      <c r="B1066" s="1"/>
      <c r="C1066" s="1"/>
      <c r="D1066" s="1"/>
      <c r="E1066" s="1"/>
      <c r="F1066" s="1"/>
      <c r="G1066" s="1"/>
      <c r="H1066" s="3"/>
      <c r="K1066" s="1"/>
      <c r="L1066" s="1"/>
      <c r="M1066" s="1"/>
      <c r="N1066" s="1"/>
      <c r="O1066" s="1"/>
      <c r="P1066" s="1"/>
      <c r="Q1066" s="3"/>
    </row>
    <row r="1067" spans="1:18" x14ac:dyDescent="0.25">
      <c r="B1067" s="1"/>
      <c r="C1067" s="1"/>
      <c r="D1067" s="1"/>
      <c r="E1067" s="1"/>
      <c r="F1067" s="1"/>
      <c r="G1067" s="1"/>
      <c r="H1067" s="3"/>
      <c r="I1067" s="1"/>
      <c r="J1067" s="1"/>
      <c r="K1067" s="1"/>
      <c r="L1067" s="1"/>
      <c r="M1067" s="1"/>
      <c r="N1067" s="1"/>
      <c r="O1067" s="1"/>
      <c r="P1067" s="1"/>
      <c r="Q1067" s="3"/>
      <c r="R1067" s="1"/>
    </row>
    <row r="1068" spans="1:18" x14ac:dyDescent="0.25">
      <c r="B1068" s="1"/>
      <c r="C1068" s="1"/>
      <c r="D1068" s="1"/>
      <c r="E1068" s="1"/>
      <c r="F1068" s="1"/>
      <c r="G1068" s="1"/>
      <c r="H1068" s="3"/>
      <c r="K1068" s="1"/>
      <c r="L1068" s="1"/>
      <c r="M1068" s="1"/>
      <c r="N1068" s="1"/>
      <c r="O1068" s="1"/>
      <c r="P1068" s="1"/>
      <c r="Q1068" s="3"/>
    </row>
    <row r="1069" spans="1:18" x14ac:dyDescent="0.25">
      <c r="B1069" s="1"/>
      <c r="C1069" s="1"/>
      <c r="D1069" s="1"/>
      <c r="E1069" s="1"/>
      <c r="F1069" s="1"/>
      <c r="G1069" s="1"/>
      <c r="H1069" s="3"/>
      <c r="K1069" s="1"/>
      <c r="L1069" s="1"/>
      <c r="M1069" s="1"/>
      <c r="N1069" s="1"/>
      <c r="O1069" s="1"/>
      <c r="P1069" s="1"/>
      <c r="Q1069" s="3"/>
    </row>
    <row r="1070" spans="1:18" x14ac:dyDescent="0.25">
      <c r="B1070" s="1"/>
      <c r="C1070" s="1"/>
      <c r="D1070" s="1"/>
      <c r="E1070" s="1"/>
      <c r="F1070" s="1"/>
      <c r="G1070" s="1"/>
      <c r="H1070" s="3"/>
      <c r="K1070" s="1"/>
      <c r="L1070" s="1"/>
      <c r="M1070" s="1"/>
      <c r="N1070" s="1"/>
      <c r="O1070" s="1"/>
      <c r="P1070" s="1"/>
      <c r="Q1070" s="3"/>
    </row>
    <row r="1071" spans="1:18" x14ac:dyDescent="0.25">
      <c r="B1071" s="1"/>
      <c r="C1071" s="1"/>
      <c r="D1071" s="1"/>
      <c r="E1071" s="1"/>
      <c r="F1071" s="1"/>
      <c r="G1071" s="1"/>
      <c r="H1071" s="3"/>
      <c r="K1071" s="1"/>
      <c r="L1071" s="1"/>
      <c r="M1071" s="1"/>
      <c r="N1071" s="1"/>
      <c r="O1071" s="1"/>
      <c r="P1071" s="1"/>
      <c r="Q1071" s="3"/>
    </row>
    <row r="1072" spans="1:18" x14ac:dyDescent="0.25">
      <c r="K1072" s="1"/>
      <c r="L1072" s="1"/>
      <c r="M1072" s="1"/>
      <c r="N1072" s="1"/>
      <c r="O1072" s="1"/>
      <c r="P1072" s="1"/>
      <c r="Q1072" s="3"/>
    </row>
    <row r="1073" spans="2:18" x14ac:dyDescent="0.25">
      <c r="B1073" s="1"/>
      <c r="C1073" s="1"/>
      <c r="D1073" s="1"/>
      <c r="E1073" s="1"/>
      <c r="F1073" s="1"/>
      <c r="G1073" s="1"/>
      <c r="H1073" s="3"/>
      <c r="I1073" s="1"/>
      <c r="J1073" s="1"/>
      <c r="K1073" s="1"/>
      <c r="L1073" s="1"/>
      <c r="M1073" s="1"/>
      <c r="N1073" s="1"/>
      <c r="O1073" s="1"/>
      <c r="P1073" s="1"/>
      <c r="Q1073" s="3"/>
    </row>
    <row r="1074" spans="2:18" x14ac:dyDescent="0.25">
      <c r="B1074" s="1"/>
      <c r="C1074" s="1"/>
      <c r="D1074" s="1"/>
      <c r="E1074" s="1"/>
      <c r="F1074" s="1"/>
      <c r="G1074" s="1"/>
      <c r="H1074" s="3"/>
      <c r="K1074" s="1"/>
      <c r="L1074" s="1"/>
      <c r="M1074" s="1"/>
      <c r="N1074" s="1"/>
      <c r="O1074" s="1"/>
      <c r="P1074" s="1"/>
      <c r="Q1074" s="3"/>
    </row>
    <row r="1075" spans="2:18" x14ac:dyDescent="0.25">
      <c r="B1075" s="1"/>
      <c r="C1075" s="1"/>
      <c r="D1075" s="1"/>
      <c r="E1075" s="1"/>
      <c r="F1075" s="1"/>
      <c r="G1075" s="1"/>
      <c r="H1075" s="3"/>
      <c r="K1075" s="1"/>
      <c r="L1075" s="1"/>
      <c r="M1075" s="1"/>
      <c r="N1075" s="1"/>
      <c r="O1075" s="1"/>
      <c r="P1075" s="1"/>
      <c r="Q1075" s="3"/>
    </row>
    <row r="1076" spans="2:18" x14ac:dyDescent="0.25">
      <c r="B1076" s="1"/>
      <c r="C1076" s="1"/>
      <c r="D1076" s="1"/>
      <c r="E1076" s="1"/>
      <c r="F1076" s="1"/>
      <c r="G1076" s="1"/>
      <c r="H1076" s="3"/>
      <c r="K1076" s="1"/>
      <c r="L1076" s="1"/>
      <c r="M1076" s="1"/>
      <c r="N1076" s="1"/>
      <c r="O1076" s="1"/>
      <c r="P1076" s="1"/>
      <c r="Q1076" s="3"/>
    </row>
    <row r="1077" spans="2:18" x14ac:dyDescent="0.25">
      <c r="B1077" s="1"/>
      <c r="C1077" s="1"/>
      <c r="D1077" s="1"/>
      <c r="E1077" s="1"/>
      <c r="F1077" s="1"/>
      <c r="G1077" s="1"/>
      <c r="H1077" s="3"/>
      <c r="K1077" s="1"/>
      <c r="L1077" s="1"/>
      <c r="M1077" s="1"/>
      <c r="N1077" s="1"/>
      <c r="O1077" s="1"/>
      <c r="P1077" s="1"/>
      <c r="Q1077" s="3"/>
    </row>
    <row r="1078" spans="2:18" x14ac:dyDescent="0.25">
      <c r="B1078" s="1"/>
      <c r="C1078" s="1"/>
      <c r="D1078" s="1"/>
      <c r="E1078" s="1"/>
      <c r="F1078" s="1"/>
      <c r="G1078" s="1"/>
      <c r="H1078" s="3"/>
      <c r="K1078" s="1"/>
      <c r="L1078" s="1"/>
      <c r="M1078" s="1"/>
      <c r="N1078" s="1"/>
      <c r="O1078" s="1"/>
      <c r="P1078" s="1"/>
      <c r="Q1078" s="3"/>
    </row>
    <row r="1079" spans="2:18" x14ac:dyDescent="0.25">
      <c r="B1079" s="1"/>
      <c r="C1079" s="1"/>
      <c r="D1079" s="1"/>
      <c r="E1079" s="1"/>
      <c r="F1079" s="1"/>
      <c r="G1079" s="1"/>
      <c r="H1079" s="3"/>
      <c r="I1079" s="1"/>
      <c r="J1079" s="1"/>
      <c r="K1079" s="1"/>
      <c r="L1079" s="1"/>
      <c r="M1079" s="1"/>
      <c r="N1079" s="1"/>
      <c r="O1079" s="1"/>
      <c r="P1079" s="1"/>
      <c r="Q1079" s="3"/>
    </row>
    <row r="1080" spans="2:18" x14ac:dyDescent="0.25">
      <c r="B1080" s="1"/>
      <c r="C1080" s="1"/>
      <c r="D1080" s="1"/>
      <c r="E1080" s="1"/>
      <c r="F1080" s="1"/>
      <c r="G1080" s="1"/>
      <c r="H1080" s="3"/>
      <c r="I1080" s="1"/>
      <c r="J1080" s="1"/>
      <c r="K1080" s="1"/>
      <c r="L1080" s="1"/>
      <c r="M1080" s="1"/>
      <c r="N1080" s="1"/>
      <c r="O1080" s="1"/>
      <c r="P1080" s="1"/>
      <c r="Q1080" s="3"/>
    </row>
    <row r="1081" spans="2:18" x14ac:dyDescent="0.25">
      <c r="B1081" s="1"/>
      <c r="C1081" s="1"/>
      <c r="D1081" s="1"/>
      <c r="E1081" s="1"/>
      <c r="F1081" s="1"/>
      <c r="G1081" s="1"/>
      <c r="H1081" s="3"/>
      <c r="I1081" s="1"/>
      <c r="J1081" s="1"/>
      <c r="K1081" s="1"/>
      <c r="L1081" s="1"/>
      <c r="M1081" s="1"/>
      <c r="N1081" s="1"/>
      <c r="O1081" s="1"/>
      <c r="P1081" s="1"/>
      <c r="Q1081" s="3"/>
    </row>
    <row r="1082" spans="2:18" x14ac:dyDescent="0.25">
      <c r="B1082" s="1"/>
      <c r="C1082" s="1"/>
      <c r="D1082" s="1"/>
      <c r="E1082" s="1"/>
      <c r="F1082" s="1"/>
      <c r="G1082" s="1"/>
      <c r="H1082" s="3"/>
      <c r="K1082" s="1"/>
      <c r="L1082" s="1"/>
      <c r="M1082" s="1"/>
      <c r="N1082" s="1"/>
      <c r="O1082" s="1"/>
      <c r="P1082" s="1"/>
      <c r="Q1082" s="3"/>
    </row>
    <row r="1083" spans="2:18" x14ac:dyDescent="0.25">
      <c r="B1083" s="1"/>
      <c r="C1083" s="1"/>
      <c r="D1083" s="1"/>
      <c r="E1083" s="1"/>
      <c r="F1083" s="1"/>
      <c r="G1083" s="1"/>
      <c r="H1083" s="3"/>
      <c r="K1083" s="1"/>
      <c r="L1083" s="1"/>
      <c r="M1083" s="1"/>
      <c r="N1083" s="1"/>
      <c r="O1083" s="1"/>
      <c r="P1083" s="1"/>
      <c r="Q1083" s="3"/>
    </row>
    <row r="1084" spans="2:18" x14ac:dyDescent="0.25">
      <c r="B1084" s="1"/>
      <c r="C1084" s="1"/>
      <c r="D1084" s="1"/>
      <c r="E1084" s="1"/>
      <c r="F1084" s="1"/>
      <c r="G1084" s="1"/>
      <c r="H1084" s="3"/>
      <c r="K1084" s="1"/>
      <c r="L1084" s="1"/>
      <c r="M1084" s="1"/>
      <c r="N1084" s="1"/>
      <c r="O1084" s="1"/>
      <c r="P1084" s="1"/>
      <c r="Q1084" s="3"/>
    </row>
    <row r="1085" spans="2:18" x14ac:dyDescent="0.25">
      <c r="K1085" s="1"/>
      <c r="L1085" s="1"/>
      <c r="M1085" s="1"/>
      <c r="N1085" s="1"/>
      <c r="O1085" s="1"/>
      <c r="P1085" s="1"/>
      <c r="Q1085" s="3"/>
    </row>
    <row r="1086" spans="2:18" x14ac:dyDescent="0.25">
      <c r="B1086" s="1"/>
      <c r="C1086" s="1"/>
      <c r="D1086" s="1"/>
      <c r="E1086" s="1"/>
      <c r="F1086" s="1"/>
      <c r="G1086" s="1"/>
      <c r="H1086" s="3"/>
      <c r="K1086" s="1"/>
      <c r="L1086" s="1"/>
      <c r="M1086" s="1"/>
      <c r="N1086" s="1"/>
      <c r="O1086" s="1"/>
      <c r="P1086" s="1"/>
      <c r="Q1086" s="3"/>
    </row>
    <row r="1087" spans="2:18" x14ac:dyDescent="0.25">
      <c r="B1087" s="1"/>
      <c r="C1087" s="1"/>
      <c r="D1087" s="1"/>
      <c r="E1087" s="1"/>
      <c r="F1087" s="1"/>
      <c r="G1087" s="1"/>
      <c r="H1087" s="3"/>
      <c r="K1087" s="1"/>
      <c r="L1087" s="1"/>
      <c r="M1087" s="1"/>
      <c r="N1087" s="1"/>
      <c r="O1087" s="1"/>
      <c r="P1087" s="1"/>
      <c r="Q1087" s="3"/>
    </row>
    <row r="1088" spans="2:18" x14ac:dyDescent="0.25">
      <c r="B1088" s="1"/>
      <c r="C1088" s="1"/>
      <c r="D1088" s="1"/>
      <c r="E1088" s="1"/>
      <c r="F1088" s="1"/>
      <c r="G1088" s="1"/>
      <c r="H1088" s="3"/>
      <c r="I1088" s="1"/>
      <c r="J1088" s="1"/>
      <c r="K1088" s="1"/>
      <c r="L1088" s="1"/>
      <c r="M1088" s="1"/>
      <c r="N1088" s="1"/>
      <c r="O1088" s="1"/>
      <c r="P1088" s="1"/>
      <c r="Q1088" s="3"/>
      <c r="R1088" s="1"/>
    </row>
    <row r="1089" spans="2:18" x14ac:dyDescent="0.25">
      <c r="B1089" s="1"/>
      <c r="C1089" s="1"/>
      <c r="D1089" s="1"/>
      <c r="E1089" s="1"/>
      <c r="F1089" s="1"/>
      <c r="G1089" s="1"/>
      <c r="H1089" s="3"/>
      <c r="K1089" s="1"/>
      <c r="L1089" s="1"/>
      <c r="M1089" s="1"/>
      <c r="N1089" s="1"/>
      <c r="O1089" s="1"/>
      <c r="P1089" s="1"/>
      <c r="Q1089" s="3"/>
    </row>
    <row r="1090" spans="2:18" x14ac:dyDescent="0.25">
      <c r="B1090" s="1"/>
      <c r="C1090" s="1"/>
      <c r="D1090" s="1"/>
      <c r="E1090" s="1"/>
      <c r="F1090" s="1"/>
      <c r="G1090" s="1"/>
      <c r="H1090" s="3"/>
      <c r="I1090" s="1"/>
      <c r="J1090" s="1"/>
      <c r="K1090" s="1"/>
      <c r="L1090" s="1"/>
      <c r="M1090" s="1"/>
      <c r="N1090" s="1"/>
      <c r="O1090" s="1"/>
      <c r="P1090" s="1"/>
      <c r="Q1090" s="3"/>
      <c r="R1090" s="1"/>
    </row>
    <row r="1091" spans="2:18" x14ac:dyDescent="0.25">
      <c r="B1091" s="1"/>
      <c r="C1091" s="1"/>
      <c r="D1091" s="1"/>
      <c r="E1091" s="1"/>
      <c r="F1091" s="1"/>
      <c r="G1091" s="1"/>
      <c r="H1091" s="3"/>
      <c r="K1091" s="1"/>
      <c r="L1091" s="1"/>
      <c r="M1091" s="1"/>
      <c r="N1091" s="1"/>
      <c r="O1091" s="1"/>
      <c r="P1091" s="1"/>
      <c r="Q1091" s="3"/>
    </row>
    <row r="1092" spans="2:18" x14ac:dyDescent="0.25">
      <c r="B1092" s="1"/>
      <c r="C1092" s="1"/>
      <c r="D1092" s="1"/>
      <c r="E1092" s="1"/>
      <c r="F1092" s="1"/>
      <c r="G1092" s="1"/>
      <c r="H1092" s="3"/>
      <c r="I1092" s="1"/>
      <c r="J1092" s="1"/>
      <c r="K1092" s="1"/>
      <c r="L1092" s="1"/>
      <c r="M1092" s="1"/>
      <c r="N1092" s="1"/>
      <c r="O1092" s="1"/>
      <c r="P1092" s="1"/>
      <c r="Q1092" s="3"/>
    </row>
    <row r="1093" spans="2:18" x14ac:dyDescent="0.25">
      <c r="B1093" s="1"/>
      <c r="C1093" s="1"/>
      <c r="D1093" s="1"/>
      <c r="E1093" s="1"/>
      <c r="F1093" s="1"/>
      <c r="G1093" s="1"/>
      <c r="H1093" s="3"/>
      <c r="K1093" s="1"/>
      <c r="L1093" s="1"/>
      <c r="M1093" s="1"/>
      <c r="N1093" s="1"/>
      <c r="O1093" s="1"/>
      <c r="P1093" s="1"/>
      <c r="Q1093" s="3"/>
    </row>
    <row r="1094" spans="2:18" x14ac:dyDescent="0.25">
      <c r="B1094" s="1"/>
      <c r="C1094" s="1"/>
      <c r="D1094" s="1"/>
      <c r="E1094" s="1"/>
      <c r="F1094" s="1"/>
      <c r="G1094" s="1"/>
      <c r="H1094" s="3"/>
      <c r="K1094" s="1"/>
      <c r="L1094" s="1"/>
      <c r="M1094" s="1"/>
      <c r="N1094" s="1"/>
      <c r="O1094" s="1"/>
      <c r="P1094" s="1"/>
      <c r="Q1094" s="3"/>
    </row>
    <row r="1095" spans="2:18" x14ac:dyDescent="0.25">
      <c r="B1095" s="1"/>
      <c r="C1095" s="1"/>
      <c r="D1095" s="1"/>
      <c r="E1095" s="1"/>
      <c r="F1095" s="1"/>
      <c r="G1095" s="1"/>
      <c r="H1095" s="3"/>
      <c r="K1095" s="1"/>
      <c r="L1095" s="1"/>
      <c r="M1095" s="1"/>
      <c r="N1095" s="1"/>
      <c r="O1095" s="1"/>
      <c r="P1095" s="1"/>
      <c r="Q1095" s="3"/>
    </row>
    <row r="1096" spans="2:18" x14ac:dyDescent="0.25">
      <c r="B1096" s="1"/>
      <c r="C1096" s="1"/>
      <c r="D1096" s="1"/>
      <c r="E1096" s="1"/>
      <c r="F1096" s="1"/>
      <c r="G1096" s="1"/>
      <c r="H1096" s="3"/>
      <c r="K1096" s="1"/>
      <c r="L1096" s="1"/>
      <c r="M1096" s="1"/>
      <c r="N1096" s="1"/>
      <c r="O1096" s="1"/>
      <c r="P1096" s="1"/>
      <c r="Q1096" s="3"/>
    </row>
    <row r="1097" spans="2:18" x14ac:dyDescent="0.25">
      <c r="B1097" s="1"/>
      <c r="C1097" s="1"/>
      <c r="D1097" s="1"/>
      <c r="E1097" s="1"/>
      <c r="F1097" s="1"/>
      <c r="G1097" s="1"/>
      <c r="H1097" s="3"/>
      <c r="K1097" s="1"/>
      <c r="L1097" s="1"/>
      <c r="M1097" s="1"/>
      <c r="N1097" s="1"/>
      <c r="O1097" s="1"/>
      <c r="P1097" s="1"/>
      <c r="Q1097" s="3"/>
    </row>
    <row r="1098" spans="2:18" x14ac:dyDescent="0.25">
      <c r="B1098" s="1"/>
      <c r="C1098" s="1"/>
      <c r="D1098" s="1"/>
      <c r="E1098" s="1"/>
      <c r="F1098" s="1"/>
      <c r="G1098" s="1"/>
      <c r="H1098" s="3"/>
      <c r="K1098" s="1"/>
      <c r="L1098" s="1"/>
      <c r="M1098" s="1"/>
      <c r="N1098" s="1"/>
      <c r="O1098" s="1"/>
      <c r="P1098" s="1"/>
      <c r="Q1098" s="3"/>
    </row>
    <row r="1099" spans="2:18" x14ac:dyDescent="0.25">
      <c r="B1099" s="1"/>
      <c r="C1099" s="1"/>
      <c r="D1099" s="1"/>
      <c r="E1099" s="1"/>
      <c r="F1099" s="1"/>
      <c r="G1099" s="1"/>
      <c r="H1099" s="3"/>
      <c r="I1099" s="1"/>
      <c r="J1099" s="1"/>
      <c r="K1099" s="1"/>
      <c r="L1099" s="1"/>
      <c r="M1099" s="1"/>
      <c r="N1099" s="1"/>
      <c r="O1099" s="1"/>
      <c r="P1099" s="1"/>
      <c r="Q1099" s="3"/>
      <c r="R1099" s="1"/>
    </row>
    <row r="1100" spans="2:18" x14ac:dyDescent="0.25">
      <c r="K1100" s="1"/>
      <c r="L1100" s="1"/>
      <c r="M1100" s="1"/>
      <c r="N1100" s="1"/>
      <c r="O1100" s="1"/>
      <c r="P1100" s="1"/>
      <c r="Q1100" s="3"/>
    </row>
    <row r="1101" spans="2:18" x14ac:dyDescent="0.25">
      <c r="B1101" s="1"/>
      <c r="C1101" s="1"/>
      <c r="D1101" s="1"/>
      <c r="E1101" s="1"/>
      <c r="F1101" s="1"/>
      <c r="G1101" s="1"/>
      <c r="H1101" s="3"/>
      <c r="K1101" s="1"/>
      <c r="L1101" s="1"/>
      <c r="M1101" s="1"/>
      <c r="N1101" s="1"/>
      <c r="O1101" s="1"/>
      <c r="P1101" s="1"/>
      <c r="Q1101" s="3"/>
    </row>
    <row r="1102" spans="2:18" x14ac:dyDescent="0.25">
      <c r="B1102" s="1"/>
      <c r="C1102" s="1"/>
      <c r="D1102" s="1"/>
      <c r="E1102" s="1"/>
      <c r="F1102" s="1"/>
      <c r="G1102" s="1"/>
      <c r="H1102" s="3"/>
      <c r="K1102" s="1"/>
      <c r="L1102" s="1"/>
      <c r="M1102" s="1"/>
      <c r="N1102" s="1"/>
      <c r="O1102" s="1"/>
      <c r="P1102" s="1"/>
      <c r="Q1102" s="3"/>
    </row>
    <row r="1103" spans="2:18" x14ac:dyDescent="0.25">
      <c r="B1103" s="1"/>
      <c r="C1103" s="1"/>
      <c r="D1103" s="1"/>
      <c r="E1103" s="1"/>
      <c r="F1103" s="1"/>
      <c r="G1103" s="8"/>
      <c r="H1103" s="9"/>
      <c r="K1103" s="1"/>
      <c r="L1103" s="1"/>
      <c r="M1103" s="1"/>
      <c r="N1103" s="1"/>
      <c r="O1103" s="1"/>
      <c r="P1103" s="1"/>
      <c r="Q1103" s="3"/>
    </row>
    <row r="1104" spans="2:18" x14ac:dyDescent="0.25">
      <c r="B1104" s="1"/>
      <c r="C1104" s="1"/>
      <c r="D1104" s="1"/>
      <c r="E1104" s="1"/>
      <c r="F1104" s="1"/>
      <c r="G1104" s="1"/>
      <c r="H1104" s="3"/>
      <c r="K1104" s="1"/>
      <c r="L1104" s="1"/>
      <c r="M1104" s="1"/>
      <c r="N1104" s="1"/>
      <c r="O1104" s="1"/>
      <c r="P1104" s="1"/>
      <c r="Q1104" s="3"/>
    </row>
    <row r="1105" spans="1:18" x14ac:dyDescent="0.25">
      <c r="B1105" s="1"/>
      <c r="C1105" s="1"/>
      <c r="D1105" s="1"/>
      <c r="E1105" s="1"/>
      <c r="F1105" s="1"/>
      <c r="G1105" s="1"/>
      <c r="H1105" s="3"/>
      <c r="I1105" s="1"/>
      <c r="J1105" s="1"/>
      <c r="K1105" s="1"/>
      <c r="L1105" s="1"/>
      <c r="M1105" s="1"/>
      <c r="N1105" s="1"/>
      <c r="O1105" s="1"/>
      <c r="P1105" s="1"/>
      <c r="Q1105" s="3"/>
    </row>
    <row r="1106" spans="1:18" x14ac:dyDescent="0.25">
      <c r="K1106" s="1"/>
      <c r="L1106" s="1"/>
      <c r="M1106" s="1"/>
      <c r="N1106" s="1"/>
      <c r="O1106" s="1"/>
      <c r="P1106" s="1"/>
      <c r="Q1106" s="3"/>
    </row>
    <row r="1107" spans="1:18" x14ac:dyDescent="0.25">
      <c r="B1107" s="1"/>
      <c r="C1107" s="1"/>
      <c r="D1107" s="1"/>
      <c r="E1107" s="1"/>
      <c r="F1107" s="1"/>
      <c r="G1107" s="1"/>
      <c r="H1107" s="3"/>
      <c r="K1107" s="1"/>
      <c r="L1107" s="1"/>
      <c r="M1107" s="1"/>
      <c r="N1107" s="1"/>
      <c r="O1107" s="1"/>
      <c r="P1107" s="1"/>
      <c r="Q1107" s="3"/>
    </row>
    <row r="1108" spans="1:18" x14ac:dyDescent="0.25">
      <c r="B1108" s="1"/>
      <c r="C1108" s="1"/>
      <c r="D1108" s="1"/>
      <c r="E1108" s="1"/>
      <c r="F1108" s="1"/>
      <c r="G1108" s="1"/>
      <c r="H1108" s="3"/>
      <c r="K1108" s="1"/>
      <c r="L1108" s="1"/>
      <c r="M1108" s="1"/>
      <c r="N1108" s="1"/>
      <c r="O1108" s="1"/>
      <c r="P1108" s="1"/>
      <c r="Q1108" s="3"/>
    </row>
    <row r="1109" spans="1:18" x14ac:dyDescent="0.25">
      <c r="B1109" s="1"/>
      <c r="C1109" s="1"/>
      <c r="D1109" s="1"/>
      <c r="E1109" s="1"/>
      <c r="F1109" s="1"/>
      <c r="G1109" s="1"/>
      <c r="H1109" s="3"/>
      <c r="K1109" s="1"/>
      <c r="L1109" s="1"/>
      <c r="M1109" s="1"/>
      <c r="N1109" s="1"/>
      <c r="O1109" s="1"/>
      <c r="P1109" s="1"/>
      <c r="Q1109" s="3"/>
    </row>
    <row r="1110" spans="1:18" x14ac:dyDescent="0.25">
      <c r="B1110" s="1"/>
      <c r="C1110" s="1"/>
      <c r="D1110" s="1"/>
      <c r="E1110" s="1"/>
      <c r="F1110" s="1"/>
      <c r="G1110" s="1"/>
      <c r="H1110" s="3"/>
      <c r="K1110" s="1"/>
      <c r="L1110" s="1"/>
      <c r="M1110" s="1"/>
      <c r="N1110" s="1"/>
      <c r="O1110" s="1"/>
      <c r="P1110" s="1"/>
      <c r="Q1110" s="3"/>
    </row>
    <row r="1111" spans="1:18" x14ac:dyDescent="0.25">
      <c r="B1111" s="1"/>
      <c r="C1111" s="1"/>
      <c r="D1111" s="1"/>
      <c r="E1111" s="1"/>
      <c r="F1111" s="1"/>
      <c r="G1111" s="1"/>
      <c r="H1111" s="3"/>
      <c r="I1111" s="1"/>
      <c r="J1111" s="1"/>
      <c r="K1111" s="1"/>
      <c r="L1111" s="1"/>
      <c r="M1111" s="1"/>
      <c r="N1111" s="1"/>
      <c r="O1111" s="1"/>
      <c r="P1111" s="1"/>
      <c r="Q1111" s="3"/>
    </row>
    <row r="1112" spans="1:18" x14ac:dyDescent="0.25">
      <c r="A1112" s="7"/>
      <c r="B1112" s="1"/>
      <c r="C1112" s="1"/>
      <c r="D1112" s="1"/>
      <c r="E1112" s="1"/>
      <c r="F1112" s="1"/>
      <c r="G1112" s="1"/>
      <c r="H1112" s="3"/>
      <c r="K1112" s="10"/>
      <c r="L1112" s="10"/>
      <c r="M1112" s="10"/>
      <c r="N1112" s="10"/>
      <c r="O1112" s="10"/>
      <c r="P1112" s="1"/>
      <c r="Q1112" s="3"/>
    </row>
    <row r="1113" spans="1:18" x14ac:dyDescent="0.25">
      <c r="B1113" s="1"/>
      <c r="C1113" s="1"/>
      <c r="D1113" s="1"/>
      <c r="E1113" s="1"/>
      <c r="F1113" s="1"/>
      <c r="G1113" s="1"/>
      <c r="H1113" s="3"/>
      <c r="I1113" s="1"/>
      <c r="J1113" s="1"/>
      <c r="K1113" s="1"/>
      <c r="L1113" s="1"/>
      <c r="M1113" s="1"/>
      <c r="N1113" s="1"/>
      <c r="O1113" s="1"/>
      <c r="P1113" s="1"/>
      <c r="Q1113" s="3"/>
      <c r="R1113" s="1"/>
    </row>
    <row r="1114" spans="1:18" x14ac:dyDescent="0.25">
      <c r="B1114" s="1"/>
      <c r="C1114" s="1"/>
      <c r="D1114" s="1"/>
      <c r="E1114" s="1"/>
      <c r="F1114" s="1"/>
      <c r="G1114" s="1"/>
      <c r="H1114" s="3"/>
      <c r="I1114" s="1"/>
      <c r="J1114" s="1"/>
      <c r="K1114" s="1"/>
      <c r="L1114" s="1"/>
      <c r="M1114" s="1"/>
      <c r="N1114" s="1"/>
      <c r="O1114" s="1"/>
      <c r="P1114" s="1"/>
      <c r="Q1114" s="3"/>
    </row>
    <row r="1115" spans="1:18" x14ac:dyDescent="0.25">
      <c r="B1115" s="1"/>
      <c r="C1115" s="1"/>
      <c r="D1115" s="1"/>
      <c r="E1115" s="1"/>
      <c r="F1115" s="1"/>
      <c r="G1115" s="1"/>
      <c r="H1115" s="3"/>
      <c r="K1115" s="1"/>
      <c r="L1115" s="1"/>
      <c r="M1115" s="1"/>
      <c r="N1115" s="1"/>
      <c r="O1115" s="1"/>
      <c r="P1115" s="1"/>
      <c r="Q1115" s="3"/>
    </row>
    <row r="1116" spans="1:18" x14ac:dyDescent="0.25">
      <c r="B1116" s="1"/>
      <c r="C1116" s="1"/>
      <c r="D1116" s="1"/>
      <c r="E1116" s="1"/>
      <c r="F1116" s="1"/>
      <c r="G1116" s="1"/>
      <c r="H1116" s="3"/>
      <c r="K1116" s="1"/>
      <c r="L1116" s="1"/>
      <c r="M1116" s="1"/>
      <c r="N1116" s="1"/>
      <c r="O1116" s="1"/>
      <c r="P1116" s="1"/>
      <c r="Q1116" s="3"/>
    </row>
    <row r="1117" spans="1:18" x14ac:dyDescent="0.25">
      <c r="B1117" s="1"/>
      <c r="C1117" s="1"/>
      <c r="D1117" s="1"/>
      <c r="E1117" s="1"/>
      <c r="F1117" s="1"/>
      <c r="G1117" s="1"/>
      <c r="H1117" s="3"/>
      <c r="K1117" s="1"/>
      <c r="L1117" s="1"/>
      <c r="M1117" s="1"/>
      <c r="N1117" s="1"/>
      <c r="O1117" s="1"/>
      <c r="P1117" s="1"/>
      <c r="Q1117" s="3"/>
    </row>
    <row r="1118" spans="1:18" x14ac:dyDescent="0.25">
      <c r="K1118" s="1"/>
      <c r="L1118" s="1"/>
      <c r="M1118" s="1"/>
      <c r="N1118" s="1"/>
      <c r="O1118" s="1"/>
      <c r="P1118" s="1"/>
      <c r="Q1118" s="3"/>
    </row>
    <row r="1119" spans="1:18" x14ac:dyDescent="0.25">
      <c r="B1119" s="1"/>
      <c r="C1119" s="1"/>
      <c r="D1119" s="1"/>
      <c r="E1119" s="1"/>
      <c r="F1119" s="1"/>
      <c r="G1119" s="1"/>
      <c r="H1119" s="3"/>
      <c r="I1119" s="1"/>
      <c r="J1119" s="1"/>
      <c r="K1119" s="1"/>
      <c r="L1119" s="1"/>
      <c r="M1119" s="1"/>
      <c r="N1119" s="1"/>
      <c r="O1119" s="1"/>
      <c r="P1119" s="1"/>
      <c r="Q1119" s="3"/>
    </row>
    <row r="1120" spans="1:18" x14ac:dyDescent="0.25">
      <c r="B1120" s="1"/>
      <c r="C1120" s="1"/>
      <c r="D1120" s="1"/>
      <c r="E1120" s="1"/>
      <c r="F1120" s="1"/>
      <c r="G1120" s="1"/>
      <c r="H1120" s="3"/>
      <c r="K1120" s="1"/>
      <c r="L1120" s="1"/>
      <c r="M1120" s="1"/>
      <c r="N1120" s="1"/>
      <c r="O1120" s="1"/>
      <c r="P1120" s="1"/>
      <c r="Q1120" s="3"/>
    </row>
    <row r="1121" spans="1:18" x14ac:dyDescent="0.25">
      <c r="B1121" s="1"/>
      <c r="C1121" s="1"/>
      <c r="D1121" s="1"/>
      <c r="E1121" s="1"/>
      <c r="F1121" s="1"/>
      <c r="G1121" s="1"/>
      <c r="H1121" s="3"/>
      <c r="K1121" s="1"/>
      <c r="L1121" s="1"/>
      <c r="M1121" s="1"/>
      <c r="N1121" s="1"/>
      <c r="O1121" s="1"/>
      <c r="P1121" s="1"/>
      <c r="Q1121" s="3"/>
    </row>
    <row r="1122" spans="1:18" x14ac:dyDescent="0.25">
      <c r="B1122" s="1"/>
      <c r="C1122" s="1"/>
      <c r="D1122" s="1"/>
      <c r="E1122" s="1"/>
      <c r="F1122" s="1"/>
      <c r="G1122" s="1"/>
      <c r="H1122" s="3"/>
      <c r="K1122" s="1"/>
      <c r="L1122" s="1"/>
      <c r="M1122" s="1"/>
      <c r="N1122" s="1"/>
      <c r="O1122" s="1"/>
      <c r="P1122" s="1"/>
      <c r="Q1122" s="3"/>
    </row>
    <row r="1123" spans="1:18" x14ac:dyDescent="0.25">
      <c r="B1123" s="1"/>
      <c r="C1123" s="1"/>
      <c r="D1123" s="1"/>
      <c r="E1123" s="1"/>
      <c r="F1123" s="1"/>
      <c r="G1123" s="8"/>
      <c r="H1123" s="9"/>
      <c r="K1123" s="1"/>
      <c r="L1123" s="1"/>
      <c r="M1123" s="1"/>
      <c r="N1123" s="1"/>
      <c r="O1123" s="1"/>
      <c r="P1123" s="1"/>
      <c r="Q1123" s="3"/>
    </row>
    <row r="1124" spans="1:18" x14ac:dyDescent="0.25">
      <c r="B1124" s="1"/>
      <c r="C1124" s="1"/>
      <c r="D1124" s="1"/>
      <c r="E1124" s="1"/>
      <c r="F1124" s="1"/>
      <c r="G1124" s="1"/>
      <c r="H1124" s="3"/>
      <c r="I1124" s="1"/>
      <c r="J1124" s="1"/>
      <c r="K1124" s="1"/>
      <c r="L1124" s="1"/>
      <c r="M1124" s="1"/>
      <c r="N1124" s="1"/>
      <c r="O1124" s="1"/>
      <c r="P1124" s="1"/>
      <c r="Q1124" s="3"/>
      <c r="R1124" s="1"/>
    </row>
    <row r="1125" spans="1:18" x14ac:dyDescent="0.25">
      <c r="B1125" s="1"/>
      <c r="C1125" s="1"/>
      <c r="D1125" s="1"/>
      <c r="E1125" s="1"/>
      <c r="F1125" s="1"/>
      <c r="G1125" s="1"/>
      <c r="H1125" s="3"/>
      <c r="K1125" s="1"/>
      <c r="L1125" s="1"/>
      <c r="M1125" s="1"/>
      <c r="N1125" s="1"/>
      <c r="O1125" s="1"/>
      <c r="P1125" s="1"/>
      <c r="Q1125" s="3"/>
    </row>
    <row r="1126" spans="1:18" x14ac:dyDescent="0.25">
      <c r="B1126" s="1"/>
      <c r="C1126" s="1"/>
      <c r="D1126" s="1"/>
      <c r="E1126" s="1"/>
      <c r="F1126" s="1"/>
      <c r="G1126" s="1"/>
      <c r="H1126" s="3"/>
      <c r="K1126" s="1"/>
      <c r="L1126" s="1"/>
      <c r="M1126" s="1"/>
      <c r="N1126" s="1"/>
      <c r="O1126" s="1"/>
      <c r="P1126" s="1"/>
      <c r="Q1126" s="3"/>
    </row>
    <row r="1127" spans="1:18" x14ac:dyDescent="0.25">
      <c r="A1127" s="7"/>
      <c r="B1127" s="1"/>
      <c r="C1127" s="1"/>
      <c r="D1127" s="1"/>
      <c r="E1127" s="1"/>
      <c r="F1127" s="1"/>
      <c r="G1127" s="1"/>
      <c r="H1127" s="3"/>
      <c r="K1127" s="10"/>
      <c r="L1127" s="10"/>
      <c r="M1127" s="10"/>
      <c r="N1127" s="10"/>
      <c r="O1127" s="10"/>
      <c r="P1127" s="1"/>
      <c r="Q1127" s="3"/>
    </row>
    <row r="1128" spans="1:18" x14ac:dyDescent="0.25">
      <c r="B1128" s="1"/>
      <c r="C1128" s="1"/>
      <c r="D1128" s="1"/>
      <c r="E1128" s="1"/>
      <c r="F1128" s="1"/>
      <c r="G1128" s="1"/>
      <c r="H1128" s="3"/>
      <c r="K1128" s="1"/>
      <c r="L1128" s="1"/>
      <c r="M1128" s="1"/>
      <c r="N1128" s="1"/>
      <c r="O1128" s="1"/>
      <c r="P1128" s="1"/>
      <c r="Q1128" s="3"/>
    </row>
    <row r="1129" spans="1:18" x14ac:dyDescent="0.25">
      <c r="B1129" s="1"/>
      <c r="C1129" s="1"/>
      <c r="D1129" s="1"/>
      <c r="E1129" s="1"/>
      <c r="F1129" s="1"/>
      <c r="G1129" s="1"/>
      <c r="H1129" s="3"/>
      <c r="I1129" s="1"/>
      <c r="J1129" s="1"/>
      <c r="K1129" s="1"/>
      <c r="L1129" s="1"/>
      <c r="M1129" s="1"/>
      <c r="N1129" s="1"/>
      <c r="O1129" s="1"/>
      <c r="P1129" s="1"/>
      <c r="Q1129" s="3"/>
    </row>
    <row r="1130" spans="1:18" x14ac:dyDescent="0.25">
      <c r="B1130" s="1"/>
      <c r="C1130" s="1"/>
      <c r="D1130" s="1"/>
      <c r="E1130" s="1"/>
      <c r="F1130" s="1"/>
      <c r="G1130" s="1"/>
      <c r="H1130" s="3"/>
      <c r="K1130" s="1"/>
      <c r="L1130" s="1"/>
      <c r="M1130" s="1"/>
      <c r="N1130" s="1"/>
      <c r="O1130" s="1"/>
      <c r="P1130" s="1"/>
      <c r="Q1130" s="3"/>
    </row>
    <row r="1131" spans="1:18" x14ac:dyDescent="0.25">
      <c r="B1131" s="1"/>
      <c r="C1131" s="1"/>
      <c r="D1131" s="1"/>
      <c r="E1131" s="1"/>
      <c r="F1131" s="1"/>
      <c r="G1131" s="1"/>
      <c r="H1131" s="3"/>
      <c r="K1131" s="1"/>
      <c r="L1131" s="1"/>
      <c r="M1131" s="1"/>
      <c r="N1131" s="1"/>
      <c r="O1131" s="1"/>
      <c r="P1131" s="1"/>
      <c r="Q1131" s="3"/>
    </row>
    <row r="1132" spans="1:18" x14ac:dyDescent="0.25">
      <c r="B1132" s="1"/>
      <c r="C1132" s="1"/>
      <c r="D1132" s="1"/>
      <c r="E1132" s="1"/>
      <c r="F1132" s="1"/>
      <c r="G1132" s="1"/>
      <c r="H1132" s="3"/>
      <c r="I1132" s="1"/>
      <c r="J1132" s="1"/>
      <c r="K1132" s="1"/>
      <c r="L1132" s="1"/>
      <c r="M1132" s="1"/>
      <c r="N1132" s="1"/>
      <c r="O1132" s="1"/>
      <c r="P1132" s="1"/>
      <c r="Q1132" s="3"/>
    </row>
    <row r="1133" spans="1:18" x14ac:dyDescent="0.25">
      <c r="B1133" s="1"/>
      <c r="C1133" s="1"/>
      <c r="D1133" s="1"/>
      <c r="E1133" s="1"/>
      <c r="F1133" s="1"/>
      <c r="G1133" s="1"/>
      <c r="H1133" s="3"/>
      <c r="K1133" s="1"/>
      <c r="L1133" s="1"/>
      <c r="M1133" s="1"/>
      <c r="N1133" s="1"/>
      <c r="O1133" s="1"/>
      <c r="P1133" s="1"/>
      <c r="Q1133" s="3"/>
    </row>
    <row r="1134" spans="1:18" x14ac:dyDescent="0.25">
      <c r="B1134" s="1"/>
      <c r="C1134" s="1"/>
      <c r="D1134" s="1"/>
      <c r="E1134" s="1"/>
      <c r="F1134" s="1"/>
      <c r="G1134" s="1"/>
      <c r="H1134" s="3"/>
      <c r="K1134" s="1"/>
      <c r="L1134" s="1"/>
      <c r="M1134" s="1"/>
      <c r="N1134" s="1"/>
      <c r="O1134" s="1"/>
      <c r="P1134" s="1"/>
      <c r="Q1134" s="3"/>
    </row>
    <row r="1135" spans="1:18" x14ac:dyDescent="0.25">
      <c r="B1135" s="1"/>
      <c r="C1135" s="1"/>
      <c r="D1135" s="1"/>
      <c r="E1135" s="1"/>
      <c r="F1135" s="1"/>
      <c r="G1135" s="1"/>
      <c r="H1135" s="3"/>
      <c r="K1135" s="1"/>
      <c r="L1135" s="1"/>
      <c r="M1135" s="1"/>
      <c r="N1135" s="1"/>
      <c r="O1135" s="1"/>
      <c r="P1135" s="1"/>
      <c r="Q1135" s="3"/>
    </row>
    <row r="1136" spans="1:18" x14ac:dyDescent="0.25">
      <c r="B1136" s="1"/>
      <c r="C1136" s="1"/>
      <c r="D1136" s="1"/>
      <c r="E1136" s="1"/>
      <c r="F1136" s="1"/>
      <c r="G1136" s="1"/>
      <c r="H1136" s="3"/>
      <c r="I1136" s="1"/>
      <c r="J1136" s="1"/>
      <c r="K1136" s="1"/>
      <c r="L1136" s="1"/>
      <c r="M1136" s="1"/>
      <c r="N1136" s="1"/>
      <c r="O1136" s="1"/>
      <c r="P1136" s="1"/>
      <c r="Q1136" s="3"/>
    </row>
    <row r="1137" spans="1:18" x14ac:dyDescent="0.25">
      <c r="K1137" s="1"/>
      <c r="L1137" s="1"/>
      <c r="M1137" s="1"/>
      <c r="N1137" s="1"/>
      <c r="O1137" s="1"/>
      <c r="P1137" s="1"/>
      <c r="Q1137" s="3"/>
    </row>
    <row r="1138" spans="1:18" x14ac:dyDescent="0.25">
      <c r="B1138" s="1"/>
      <c r="C1138" s="1"/>
      <c r="D1138" s="1"/>
      <c r="E1138" s="1"/>
      <c r="F1138" s="1"/>
      <c r="G1138" s="1"/>
      <c r="H1138" s="3"/>
      <c r="K1138" s="1"/>
      <c r="L1138" s="1"/>
      <c r="M1138" s="1"/>
      <c r="N1138" s="1"/>
      <c r="O1138" s="1"/>
      <c r="P1138" s="1"/>
      <c r="Q1138" s="3"/>
    </row>
    <row r="1139" spans="1:18" x14ac:dyDescent="0.25">
      <c r="B1139" s="1"/>
      <c r="C1139" s="1"/>
      <c r="D1139" s="1"/>
      <c r="E1139" s="1"/>
      <c r="F1139" s="1"/>
      <c r="G1139" s="1"/>
      <c r="H1139" s="3"/>
      <c r="K1139" s="1"/>
      <c r="L1139" s="1"/>
      <c r="M1139" s="1"/>
      <c r="N1139" s="1"/>
      <c r="O1139" s="1"/>
      <c r="P1139" s="1"/>
      <c r="Q1139" s="3"/>
    </row>
    <row r="1140" spans="1:18" x14ac:dyDescent="0.25">
      <c r="A1140" s="7"/>
      <c r="B1140" s="1"/>
      <c r="C1140" s="1"/>
      <c r="D1140" s="1"/>
      <c r="E1140" s="1"/>
      <c r="F1140" s="1"/>
      <c r="G1140" s="1"/>
      <c r="H1140" s="3"/>
      <c r="K1140" s="10"/>
      <c r="L1140" s="10"/>
      <c r="M1140" s="10"/>
      <c r="N1140" s="10"/>
      <c r="O1140" s="10"/>
      <c r="P1140" s="1"/>
      <c r="Q1140" s="3"/>
    </row>
    <row r="1141" spans="1:18" x14ac:dyDescent="0.25">
      <c r="B1141" s="1"/>
      <c r="C1141" s="1"/>
      <c r="D1141" s="1"/>
      <c r="E1141" s="1"/>
      <c r="F1141" s="1"/>
      <c r="G1141" s="8"/>
      <c r="H1141" s="9"/>
      <c r="K1141" s="1"/>
      <c r="L1141" s="1"/>
      <c r="M1141" s="1"/>
      <c r="N1141" s="1"/>
      <c r="O1141" s="1"/>
      <c r="P1141" s="1"/>
      <c r="Q1141" s="3"/>
    </row>
    <row r="1142" spans="1:18" x14ac:dyDescent="0.25">
      <c r="B1142" s="1"/>
      <c r="C1142" s="1"/>
      <c r="D1142" s="1"/>
      <c r="E1142" s="1"/>
      <c r="F1142" s="1"/>
      <c r="G1142" s="1"/>
      <c r="H1142" s="3"/>
      <c r="K1142" s="1"/>
      <c r="L1142" s="1"/>
      <c r="M1142" s="1"/>
      <c r="N1142" s="1"/>
      <c r="O1142" s="1"/>
      <c r="P1142" s="1"/>
      <c r="Q1142" s="3"/>
    </row>
    <row r="1143" spans="1:18" x14ac:dyDescent="0.25">
      <c r="B1143" s="1"/>
      <c r="C1143" s="1"/>
      <c r="D1143" s="1"/>
      <c r="E1143" s="1"/>
      <c r="F1143" s="1"/>
      <c r="G1143" s="1"/>
      <c r="H1143" s="3"/>
      <c r="K1143" s="1"/>
      <c r="L1143" s="1"/>
      <c r="M1143" s="1"/>
      <c r="N1143" s="1"/>
      <c r="O1143" s="1"/>
      <c r="P1143" s="1"/>
      <c r="Q1143" s="3"/>
    </row>
    <row r="1144" spans="1:18" x14ac:dyDescent="0.25">
      <c r="B1144" s="1"/>
      <c r="C1144" s="1"/>
      <c r="D1144" s="1"/>
      <c r="E1144" s="1"/>
      <c r="F1144" s="1"/>
      <c r="G1144" s="1"/>
      <c r="H1144" s="3"/>
      <c r="K1144" s="1"/>
      <c r="L1144" s="1"/>
      <c r="M1144" s="1"/>
      <c r="N1144" s="1"/>
      <c r="O1144" s="1"/>
      <c r="P1144" s="1"/>
      <c r="Q1144" s="3"/>
    </row>
    <row r="1145" spans="1:18" x14ac:dyDescent="0.25">
      <c r="B1145" s="1"/>
      <c r="C1145" s="1"/>
      <c r="D1145" s="1"/>
      <c r="E1145" s="1"/>
      <c r="F1145" s="1"/>
      <c r="G1145" s="1"/>
      <c r="H1145" s="3"/>
      <c r="I1145" s="1"/>
      <c r="J1145" s="1"/>
      <c r="K1145" s="1"/>
      <c r="L1145" s="1"/>
      <c r="M1145" s="1"/>
      <c r="N1145" s="1"/>
      <c r="O1145" s="1"/>
      <c r="P1145" s="1"/>
      <c r="Q1145" s="3"/>
      <c r="R1145" s="1"/>
    </row>
    <row r="1146" spans="1:18" x14ac:dyDescent="0.25">
      <c r="B1146" s="1"/>
      <c r="C1146" s="1"/>
      <c r="D1146" s="1"/>
      <c r="E1146" s="1"/>
      <c r="F1146" s="1"/>
      <c r="G1146" s="1"/>
      <c r="H1146" s="3"/>
      <c r="K1146" s="1"/>
      <c r="L1146" s="1"/>
      <c r="M1146" s="1"/>
      <c r="N1146" s="1"/>
      <c r="O1146" s="1"/>
      <c r="P1146" s="1"/>
      <c r="Q1146" s="3"/>
    </row>
    <row r="1147" spans="1:18" x14ac:dyDescent="0.25">
      <c r="B1147" s="1"/>
      <c r="C1147" s="1"/>
      <c r="D1147" s="1"/>
      <c r="E1147" s="1"/>
      <c r="F1147" s="1"/>
      <c r="G1147" s="1"/>
      <c r="H1147" s="3"/>
      <c r="K1147" s="1"/>
      <c r="L1147" s="1"/>
      <c r="M1147" s="1"/>
      <c r="N1147" s="1"/>
      <c r="O1147" s="1"/>
      <c r="P1147" s="1"/>
      <c r="Q1147" s="3"/>
    </row>
    <row r="1148" spans="1:18" x14ac:dyDescent="0.25">
      <c r="B1148" s="1"/>
      <c r="C1148" s="1"/>
      <c r="D1148" s="1"/>
      <c r="E1148" s="1"/>
      <c r="F1148" s="1"/>
      <c r="G1148" s="1"/>
      <c r="H1148" s="3"/>
      <c r="I1148" s="1"/>
      <c r="J1148" s="1"/>
      <c r="K1148" s="1"/>
      <c r="L1148" s="1"/>
      <c r="M1148" s="1"/>
      <c r="N1148" s="1"/>
      <c r="O1148" s="1"/>
      <c r="P1148" s="1"/>
      <c r="Q1148" s="3"/>
    </row>
    <row r="1149" spans="1:18" x14ac:dyDescent="0.25">
      <c r="A1149" s="7"/>
      <c r="B1149" s="1"/>
      <c r="C1149" s="1"/>
      <c r="D1149" s="1"/>
      <c r="E1149" s="1"/>
      <c r="F1149" s="1"/>
      <c r="G1149" s="1"/>
      <c r="H1149" s="3"/>
      <c r="K1149" s="10"/>
      <c r="L1149" s="10"/>
      <c r="M1149" s="10"/>
      <c r="N1149" s="10"/>
      <c r="O1149" s="10"/>
      <c r="P1149" s="1"/>
      <c r="Q1149" s="3"/>
    </row>
    <row r="1150" spans="1:18" x14ac:dyDescent="0.25">
      <c r="B1150" s="1"/>
      <c r="C1150" s="1"/>
      <c r="D1150" s="1"/>
      <c r="E1150" s="1"/>
      <c r="F1150" s="1"/>
      <c r="G1150" s="1"/>
      <c r="H1150" s="3"/>
      <c r="I1150" s="1"/>
      <c r="J1150" s="1"/>
      <c r="K1150" s="1"/>
      <c r="L1150" s="1"/>
      <c r="M1150" s="1"/>
      <c r="N1150" s="1"/>
      <c r="O1150" s="1"/>
      <c r="P1150" s="1"/>
      <c r="Q1150" s="3"/>
    </row>
    <row r="1151" spans="1:18" x14ac:dyDescent="0.25">
      <c r="A1151" s="7"/>
      <c r="B1151" s="1"/>
      <c r="C1151" s="1"/>
      <c r="D1151" s="1"/>
      <c r="E1151" s="1"/>
      <c r="F1151" s="1"/>
      <c r="G1151" s="1"/>
      <c r="H1151" s="3"/>
      <c r="K1151" s="10"/>
      <c r="L1151" s="10"/>
      <c r="M1151" s="10"/>
      <c r="N1151" s="10"/>
      <c r="O1151" s="10"/>
      <c r="P1151" s="1"/>
      <c r="Q1151" s="3"/>
    </row>
    <row r="1152" spans="1:18" x14ac:dyDescent="0.25">
      <c r="B1152" s="1"/>
      <c r="C1152" s="1"/>
      <c r="D1152" s="1"/>
      <c r="E1152" s="1"/>
      <c r="F1152" s="1"/>
      <c r="G1152" s="1"/>
      <c r="H1152" s="3"/>
      <c r="K1152" s="1"/>
      <c r="L1152" s="1"/>
      <c r="M1152" s="1"/>
      <c r="N1152" s="1"/>
      <c r="O1152" s="1"/>
      <c r="P1152" s="1"/>
      <c r="Q1152" s="3"/>
    </row>
    <row r="1153" spans="2:18" x14ac:dyDescent="0.25">
      <c r="B1153" s="1"/>
      <c r="C1153" s="1"/>
      <c r="D1153" s="1"/>
      <c r="E1153" s="1"/>
      <c r="F1153" s="1"/>
      <c r="G1153" s="1"/>
      <c r="H1153" s="3"/>
      <c r="K1153" s="1"/>
      <c r="L1153" s="1"/>
      <c r="M1153" s="1"/>
      <c r="N1153" s="1"/>
      <c r="O1153" s="1"/>
      <c r="P1153" s="1"/>
      <c r="Q1153" s="3"/>
    </row>
    <row r="1154" spans="2:18" x14ac:dyDescent="0.25">
      <c r="B1154" s="1"/>
      <c r="C1154" s="1"/>
      <c r="D1154" s="1"/>
      <c r="E1154" s="1"/>
      <c r="F1154" s="1"/>
      <c r="G1154" s="1"/>
      <c r="H1154" s="3"/>
      <c r="I1154" s="1"/>
      <c r="J1154" s="1"/>
      <c r="K1154" s="1"/>
      <c r="L1154" s="1"/>
      <c r="M1154" s="1"/>
      <c r="N1154" s="1"/>
      <c r="O1154" s="1"/>
      <c r="P1154" s="1"/>
      <c r="Q1154" s="3"/>
    </row>
    <row r="1155" spans="2:18" x14ac:dyDescent="0.25">
      <c r="B1155" s="1"/>
      <c r="C1155" s="1"/>
      <c r="D1155" s="1"/>
      <c r="E1155" s="1"/>
      <c r="F1155" s="1"/>
      <c r="G1155" s="1"/>
      <c r="H1155" s="3"/>
      <c r="K1155" s="1"/>
      <c r="L1155" s="1"/>
      <c r="M1155" s="1"/>
      <c r="N1155" s="1"/>
      <c r="O1155" s="1"/>
      <c r="P1155" s="1"/>
      <c r="Q1155" s="3"/>
    </row>
    <row r="1156" spans="2:18" x14ac:dyDescent="0.25">
      <c r="B1156" s="1"/>
      <c r="C1156" s="1"/>
      <c r="D1156" s="1"/>
      <c r="E1156" s="1"/>
      <c r="F1156" s="1"/>
      <c r="G1156" s="1"/>
      <c r="H1156" s="3"/>
      <c r="I1156" s="1"/>
      <c r="J1156" s="1"/>
      <c r="K1156" s="1"/>
      <c r="L1156" s="1"/>
      <c r="M1156" s="1"/>
      <c r="N1156" s="1"/>
      <c r="O1156" s="1"/>
      <c r="P1156" s="1"/>
      <c r="Q1156" s="3"/>
    </row>
    <row r="1157" spans="2:18" x14ac:dyDescent="0.25">
      <c r="B1157" s="1"/>
      <c r="C1157" s="1"/>
      <c r="D1157" s="1"/>
      <c r="E1157" s="1"/>
      <c r="F1157" s="1"/>
      <c r="G1157" s="1"/>
      <c r="H1157" s="3"/>
      <c r="K1157" s="1"/>
      <c r="L1157" s="1"/>
      <c r="M1157" s="1"/>
      <c r="N1157" s="1"/>
      <c r="O1157" s="1"/>
      <c r="P1157" s="1"/>
      <c r="Q1157" s="3"/>
    </row>
    <row r="1158" spans="2:18" x14ac:dyDescent="0.25">
      <c r="B1158" s="1"/>
      <c r="C1158" s="1"/>
      <c r="D1158" s="1"/>
      <c r="E1158" s="1"/>
      <c r="F1158" s="1"/>
      <c r="G1158" s="1"/>
      <c r="H1158" s="3"/>
      <c r="I1158" s="1"/>
      <c r="J1158" s="1"/>
      <c r="K1158" s="1"/>
      <c r="L1158" s="1"/>
      <c r="M1158" s="1"/>
      <c r="N1158" s="1"/>
      <c r="O1158" s="1"/>
      <c r="P1158" s="1"/>
      <c r="Q1158" s="3"/>
      <c r="R1158" s="1"/>
    </row>
    <row r="1159" spans="2:18" x14ac:dyDescent="0.25">
      <c r="B1159" s="1"/>
      <c r="C1159" s="1"/>
      <c r="D1159" s="1"/>
      <c r="E1159" s="1"/>
      <c r="F1159" s="1"/>
      <c r="G1159" s="1"/>
      <c r="H1159" s="3"/>
      <c r="I1159" s="1"/>
      <c r="J1159" s="1"/>
      <c r="K1159" s="1"/>
      <c r="L1159" s="1"/>
      <c r="M1159" s="1"/>
      <c r="N1159" s="1"/>
      <c r="O1159" s="1"/>
      <c r="P1159" s="1"/>
      <c r="Q1159" s="3"/>
    </row>
    <row r="1160" spans="2:18" x14ac:dyDescent="0.25">
      <c r="B1160" s="1"/>
      <c r="C1160" s="1"/>
      <c r="D1160" s="1"/>
      <c r="E1160" s="1"/>
      <c r="F1160" s="1"/>
      <c r="G1160" s="1"/>
      <c r="H1160" s="3"/>
      <c r="I1160" s="1"/>
      <c r="J1160" s="1"/>
      <c r="K1160" s="1"/>
      <c r="L1160" s="1"/>
      <c r="M1160" s="1"/>
      <c r="N1160" s="1"/>
      <c r="O1160" s="1"/>
      <c r="P1160" s="1"/>
      <c r="Q1160" s="3"/>
    </row>
    <row r="1161" spans="2:18" x14ac:dyDescent="0.25">
      <c r="B1161" s="1"/>
      <c r="C1161" s="1"/>
      <c r="D1161" s="1"/>
      <c r="E1161" s="1"/>
      <c r="F1161" s="1"/>
      <c r="G1161" s="1"/>
      <c r="H1161" s="3"/>
      <c r="K1161" s="1"/>
      <c r="L1161" s="1"/>
      <c r="M1161" s="1"/>
      <c r="N1161" s="1"/>
      <c r="O1161" s="1"/>
      <c r="P1161" s="1"/>
      <c r="Q1161" s="3"/>
    </row>
    <row r="1162" spans="2:18" x14ac:dyDescent="0.25">
      <c r="B1162" s="1"/>
      <c r="C1162" s="1"/>
      <c r="D1162" s="1"/>
      <c r="E1162" s="1"/>
      <c r="F1162" s="1"/>
      <c r="G1162" s="1"/>
      <c r="H1162" s="3"/>
      <c r="K1162" s="1"/>
      <c r="L1162" s="1"/>
      <c r="M1162" s="1"/>
      <c r="N1162" s="1"/>
      <c r="O1162" s="1"/>
      <c r="P1162" s="1"/>
      <c r="Q1162" s="3"/>
    </row>
    <row r="1163" spans="2:18" x14ac:dyDescent="0.25">
      <c r="K1163" s="1"/>
      <c r="L1163" s="1"/>
      <c r="M1163" s="1"/>
      <c r="N1163" s="1"/>
      <c r="O1163" s="1"/>
      <c r="P1163" s="1"/>
      <c r="Q1163" s="3"/>
    </row>
    <row r="1164" spans="2:18" x14ac:dyDescent="0.25">
      <c r="B1164" s="1"/>
      <c r="C1164" s="1"/>
      <c r="D1164" s="1"/>
      <c r="E1164" s="1"/>
      <c r="F1164" s="1"/>
      <c r="G1164" s="1"/>
      <c r="H1164" s="3"/>
      <c r="K1164" s="1"/>
      <c r="L1164" s="1"/>
      <c r="M1164" s="1"/>
      <c r="N1164" s="1"/>
      <c r="O1164" s="1"/>
      <c r="P1164" s="1"/>
      <c r="Q1164" s="3"/>
    </row>
    <row r="1165" spans="2:18" x14ac:dyDescent="0.25">
      <c r="K1165" s="1"/>
      <c r="L1165" s="1"/>
      <c r="M1165" s="1"/>
      <c r="N1165" s="1"/>
      <c r="O1165" s="1"/>
      <c r="P1165" s="1"/>
      <c r="Q1165" s="3"/>
    </row>
    <row r="1166" spans="2:18" x14ac:dyDescent="0.25">
      <c r="B1166" s="1"/>
      <c r="C1166" s="1"/>
      <c r="D1166" s="1"/>
      <c r="E1166" s="1"/>
      <c r="F1166" s="1"/>
      <c r="G1166" s="1"/>
      <c r="H1166" s="3"/>
      <c r="K1166" s="1"/>
      <c r="L1166" s="1"/>
      <c r="M1166" s="1"/>
      <c r="N1166" s="1"/>
      <c r="O1166" s="1"/>
      <c r="P1166" s="1"/>
      <c r="Q1166" s="3"/>
    </row>
    <row r="1167" spans="2:18" x14ac:dyDescent="0.25">
      <c r="B1167" s="1"/>
      <c r="C1167" s="1"/>
      <c r="D1167" s="1"/>
      <c r="E1167" s="1"/>
      <c r="F1167" s="1"/>
      <c r="G1167" s="1"/>
      <c r="H1167" s="3"/>
      <c r="I1167" s="1"/>
      <c r="J1167" s="1"/>
      <c r="K1167" s="1"/>
      <c r="L1167" s="1"/>
      <c r="M1167" s="1"/>
      <c r="N1167" s="1"/>
      <c r="O1167" s="1"/>
      <c r="P1167" s="1"/>
      <c r="Q1167" s="3"/>
    </row>
    <row r="1168" spans="2:18" x14ac:dyDescent="0.25">
      <c r="B1168" s="1"/>
      <c r="C1168" s="1"/>
      <c r="D1168" s="1"/>
      <c r="E1168" s="1"/>
      <c r="F1168" s="1"/>
      <c r="G1168" s="1"/>
      <c r="H1168" s="3"/>
      <c r="I1168" s="1"/>
      <c r="J1168" s="1"/>
      <c r="K1168" s="1"/>
      <c r="L1168" s="1"/>
      <c r="M1168" s="1"/>
      <c r="N1168" s="1"/>
      <c r="O1168" s="1"/>
      <c r="P1168" s="1"/>
      <c r="Q1168" s="3"/>
    </row>
    <row r="1169" spans="1:17" x14ac:dyDescent="0.25">
      <c r="B1169" s="1"/>
      <c r="C1169" s="1"/>
      <c r="D1169" s="1"/>
      <c r="E1169" s="1"/>
      <c r="F1169" s="1"/>
      <c r="G1169" s="1"/>
      <c r="H1169" s="3"/>
      <c r="I1169" s="1"/>
      <c r="J1169" s="1"/>
      <c r="K1169" s="1"/>
      <c r="L1169" s="1"/>
      <c r="M1169" s="1"/>
      <c r="N1169" s="1"/>
      <c r="O1169" s="1"/>
      <c r="P1169" s="1"/>
      <c r="Q1169" s="3"/>
    </row>
    <row r="1170" spans="1:17" x14ac:dyDescent="0.25">
      <c r="A1170" s="7"/>
      <c r="B1170" s="1"/>
      <c r="C1170" s="1"/>
      <c r="D1170" s="1"/>
      <c r="E1170" s="1"/>
      <c r="F1170" s="1"/>
      <c r="G1170" s="1"/>
      <c r="H1170" s="3"/>
      <c r="K1170" s="10"/>
      <c r="L1170" s="10"/>
      <c r="M1170" s="10"/>
      <c r="N1170" s="10"/>
      <c r="O1170" s="10"/>
      <c r="P1170" s="1"/>
      <c r="Q1170" s="3"/>
    </row>
    <row r="1171" spans="1:17" x14ac:dyDescent="0.25">
      <c r="B1171" s="1"/>
      <c r="C1171" s="1"/>
      <c r="D1171" s="1"/>
      <c r="E1171" s="1"/>
      <c r="F1171" s="1"/>
      <c r="G1171" s="1"/>
      <c r="H1171" s="3"/>
      <c r="K1171" s="1"/>
      <c r="L1171" s="1"/>
      <c r="M1171" s="1"/>
      <c r="N1171" s="1"/>
      <c r="O1171" s="1"/>
      <c r="P1171" s="1"/>
      <c r="Q1171" s="3"/>
    </row>
    <row r="1172" spans="1:17" x14ac:dyDescent="0.25">
      <c r="B1172" s="1"/>
      <c r="C1172" s="1"/>
      <c r="D1172" s="1"/>
      <c r="E1172" s="1"/>
      <c r="F1172" s="1"/>
      <c r="G1172" s="1"/>
      <c r="H1172" s="3"/>
      <c r="K1172" s="1"/>
      <c r="L1172" s="1"/>
      <c r="M1172" s="1"/>
      <c r="N1172" s="1"/>
      <c r="O1172" s="1"/>
      <c r="P1172" s="1"/>
      <c r="Q1172" s="3"/>
    </row>
    <row r="1173" spans="1:17" x14ac:dyDescent="0.25">
      <c r="B1173" s="1"/>
      <c r="C1173" s="1"/>
      <c r="D1173" s="1"/>
      <c r="E1173" s="1"/>
      <c r="F1173" s="1"/>
      <c r="G1173" s="1"/>
      <c r="H1173" s="3"/>
      <c r="K1173" s="1"/>
      <c r="L1173" s="1"/>
      <c r="M1173" s="1"/>
      <c r="N1173" s="1"/>
      <c r="O1173" s="1"/>
      <c r="P1173" s="1"/>
      <c r="Q1173" s="3"/>
    </row>
    <row r="1174" spans="1:17" x14ac:dyDescent="0.25">
      <c r="B1174" s="1"/>
      <c r="C1174" s="1"/>
      <c r="D1174" s="1"/>
      <c r="E1174" s="1"/>
      <c r="F1174" s="1"/>
      <c r="G1174" s="8"/>
      <c r="H1174" s="9"/>
      <c r="K1174" s="1"/>
      <c r="L1174" s="1"/>
      <c r="M1174" s="1"/>
      <c r="N1174" s="1"/>
      <c r="O1174" s="1"/>
      <c r="P1174" s="1"/>
      <c r="Q1174" s="3"/>
    </row>
    <row r="1175" spans="1:17" x14ac:dyDescent="0.25">
      <c r="B1175" s="1"/>
      <c r="C1175" s="1"/>
      <c r="D1175" s="1"/>
      <c r="E1175" s="1"/>
      <c r="F1175" s="1"/>
      <c r="G1175" s="1"/>
      <c r="H1175" s="3"/>
      <c r="K1175" s="1"/>
      <c r="L1175" s="1"/>
      <c r="M1175" s="1"/>
      <c r="N1175" s="1"/>
      <c r="O1175" s="1"/>
      <c r="P1175" s="1"/>
      <c r="Q1175" s="3"/>
    </row>
    <row r="1176" spans="1:17" x14ac:dyDescent="0.25">
      <c r="K1176" s="1"/>
      <c r="L1176" s="1"/>
      <c r="M1176" s="1"/>
      <c r="N1176" s="1"/>
      <c r="O1176" s="1"/>
      <c r="P1176" s="1"/>
      <c r="Q1176" s="3"/>
    </row>
    <row r="1177" spans="1:17" x14ac:dyDescent="0.25">
      <c r="A1177" s="7"/>
      <c r="B1177" s="1"/>
      <c r="C1177" s="1"/>
      <c r="D1177" s="1"/>
      <c r="E1177" s="1"/>
      <c r="F1177" s="1"/>
      <c r="G1177" s="1"/>
      <c r="H1177" s="3"/>
      <c r="K1177" s="10"/>
      <c r="L1177" s="10"/>
      <c r="M1177" s="10"/>
      <c r="N1177" s="10"/>
      <c r="O1177" s="10"/>
      <c r="P1177" s="1"/>
      <c r="Q1177" s="3"/>
    </row>
    <row r="1178" spans="1:17" x14ac:dyDescent="0.25">
      <c r="B1178" s="1"/>
      <c r="C1178" s="1"/>
      <c r="D1178" s="1"/>
      <c r="E1178" s="1"/>
      <c r="F1178" s="1"/>
      <c r="G1178" s="1"/>
      <c r="H1178" s="3"/>
      <c r="K1178" s="1"/>
      <c r="L1178" s="1"/>
      <c r="M1178" s="1"/>
      <c r="N1178" s="1"/>
      <c r="O1178" s="1"/>
      <c r="P1178" s="1"/>
      <c r="Q1178" s="3"/>
    </row>
    <row r="1179" spans="1:17" x14ac:dyDescent="0.25">
      <c r="B1179" s="1"/>
      <c r="C1179" s="1"/>
      <c r="D1179" s="1"/>
      <c r="E1179" s="1"/>
      <c r="F1179" s="1"/>
      <c r="G1179" s="1"/>
      <c r="H1179" s="3"/>
      <c r="K1179" s="1"/>
      <c r="L1179" s="1"/>
      <c r="M1179" s="1"/>
      <c r="N1179" s="1"/>
      <c r="O1179" s="1"/>
      <c r="P1179" s="1"/>
      <c r="Q1179" s="3"/>
    </row>
    <row r="1180" spans="1:17" x14ac:dyDescent="0.25">
      <c r="B1180" s="1"/>
      <c r="C1180" s="1"/>
      <c r="D1180" s="1"/>
      <c r="E1180" s="1"/>
      <c r="F1180" s="1"/>
      <c r="G1180" s="1"/>
      <c r="H1180" s="3"/>
      <c r="K1180" s="1"/>
      <c r="L1180" s="1"/>
      <c r="M1180" s="1"/>
      <c r="N1180" s="1"/>
      <c r="O1180" s="1"/>
      <c r="P1180" s="1"/>
      <c r="Q1180" s="3"/>
    </row>
    <row r="1181" spans="1:17" x14ac:dyDescent="0.25">
      <c r="B1181" s="1"/>
      <c r="C1181" s="1"/>
      <c r="D1181" s="1"/>
      <c r="E1181" s="1"/>
      <c r="F1181" s="1"/>
      <c r="G1181" s="1"/>
      <c r="H1181" s="3"/>
      <c r="K1181" s="1"/>
      <c r="L1181" s="1"/>
      <c r="M1181" s="1"/>
      <c r="N1181" s="1"/>
      <c r="O1181" s="1"/>
      <c r="P1181" s="1"/>
      <c r="Q1181" s="3"/>
    </row>
    <row r="1182" spans="1:17" x14ac:dyDescent="0.25">
      <c r="B1182" s="1"/>
      <c r="C1182" s="1"/>
      <c r="D1182" s="1"/>
      <c r="E1182" s="1"/>
      <c r="F1182" s="1"/>
      <c r="G1182" s="1"/>
      <c r="H1182" s="3"/>
      <c r="I1182" s="1"/>
      <c r="J1182" s="1"/>
      <c r="K1182" s="1"/>
      <c r="L1182" s="1"/>
      <c r="M1182" s="1"/>
      <c r="N1182" s="1"/>
      <c r="O1182" s="1"/>
      <c r="P1182" s="1"/>
      <c r="Q1182" s="3"/>
    </row>
    <row r="1183" spans="1:17" x14ac:dyDescent="0.25">
      <c r="B1183" s="1"/>
      <c r="C1183" s="1"/>
      <c r="D1183" s="1"/>
      <c r="E1183" s="1"/>
      <c r="F1183" s="1"/>
      <c r="G1183" s="1"/>
      <c r="H1183" s="3"/>
      <c r="K1183" s="1"/>
      <c r="L1183" s="1"/>
      <c r="M1183" s="1"/>
      <c r="N1183" s="1"/>
      <c r="O1183" s="1"/>
      <c r="P1183" s="1"/>
      <c r="Q1183" s="3"/>
    </row>
    <row r="1184" spans="1:17" x14ac:dyDescent="0.25">
      <c r="B1184" s="1"/>
      <c r="C1184" s="1"/>
      <c r="D1184" s="1"/>
      <c r="E1184" s="1"/>
      <c r="F1184" s="1"/>
      <c r="G1184" s="1"/>
      <c r="H1184" s="3"/>
      <c r="I1184" s="1"/>
      <c r="J1184" s="1"/>
      <c r="K1184" s="1"/>
      <c r="L1184" s="1"/>
      <c r="M1184" s="1"/>
      <c r="N1184" s="1"/>
      <c r="O1184" s="1"/>
      <c r="P1184" s="1"/>
      <c r="Q1184" s="3"/>
    </row>
    <row r="1185" spans="1:17" x14ac:dyDescent="0.25">
      <c r="A1185" s="7"/>
      <c r="B1185" s="1"/>
      <c r="C1185" s="1"/>
      <c r="D1185" s="1"/>
      <c r="E1185" s="1"/>
      <c r="F1185" s="1"/>
      <c r="G1185" s="1"/>
      <c r="H1185" s="3"/>
      <c r="K1185" s="10"/>
      <c r="L1185" s="10"/>
      <c r="M1185" s="10"/>
      <c r="N1185" s="10"/>
      <c r="O1185" s="10"/>
      <c r="P1185" s="1"/>
      <c r="Q1185" s="3"/>
    </row>
    <row r="1186" spans="1:17" x14ac:dyDescent="0.25">
      <c r="B1186" s="1"/>
      <c r="C1186" s="1"/>
      <c r="D1186" s="1"/>
      <c r="E1186" s="1"/>
      <c r="F1186" s="1"/>
      <c r="G1186" s="1"/>
      <c r="H1186" s="3"/>
      <c r="I1186" s="1"/>
      <c r="J1186" s="1"/>
      <c r="K1186" s="1"/>
      <c r="L1186" s="1"/>
      <c r="M1186" s="1"/>
      <c r="N1186" s="1"/>
      <c r="O1186" s="1"/>
      <c r="P1186" s="1"/>
      <c r="Q1186" s="3"/>
    </row>
    <row r="1187" spans="1:17" x14ac:dyDescent="0.25">
      <c r="B1187" s="1"/>
      <c r="C1187" s="1"/>
      <c r="D1187" s="1"/>
      <c r="E1187" s="1"/>
      <c r="F1187" s="1"/>
      <c r="G1187" s="1"/>
      <c r="H1187" s="3"/>
      <c r="K1187" s="1"/>
      <c r="L1187" s="1"/>
      <c r="M1187" s="1"/>
      <c r="N1187" s="1"/>
      <c r="O1187" s="1"/>
      <c r="P1187" s="1"/>
      <c r="Q1187" s="3"/>
    </row>
    <row r="1188" spans="1:17" x14ac:dyDescent="0.25">
      <c r="B1188" s="1"/>
      <c r="C1188" s="1"/>
      <c r="D1188" s="1"/>
      <c r="E1188" s="1"/>
      <c r="F1188" s="1"/>
      <c r="G1188" s="1"/>
      <c r="H1188" s="3"/>
      <c r="I1188" s="1"/>
      <c r="J1188" s="1"/>
      <c r="K1188" s="1"/>
      <c r="L1188" s="1"/>
      <c r="M1188" s="1"/>
      <c r="N1188" s="1"/>
      <c r="O1188" s="1"/>
      <c r="P1188" s="1"/>
      <c r="Q1188" s="3"/>
    </row>
    <row r="1189" spans="1:17" x14ac:dyDescent="0.25">
      <c r="B1189" s="1"/>
      <c r="C1189" s="1"/>
      <c r="D1189" s="1"/>
      <c r="E1189" s="1"/>
      <c r="F1189" s="1"/>
      <c r="G1189" s="1"/>
      <c r="H1189" s="3"/>
      <c r="K1189" s="1"/>
      <c r="L1189" s="1"/>
      <c r="M1189" s="1"/>
      <c r="N1189" s="1"/>
      <c r="O1189" s="1"/>
      <c r="P1189" s="1"/>
      <c r="Q1189" s="3"/>
    </row>
    <row r="1190" spans="1:17" x14ac:dyDescent="0.25">
      <c r="B1190" s="1"/>
      <c r="C1190" s="1"/>
      <c r="D1190" s="1"/>
      <c r="E1190" s="1"/>
      <c r="F1190" s="1"/>
      <c r="G1190" s="1"/>
      <c r="H1190" s="3"/>
      <c r="K1190" s="1"/>
      <c r="L1190" s="1"/>
      <c r="M1190" s="1"/>
      <c r="N1190" s="1"/>
      <c r="O1190" s="1"/>
      <c r="P1190" s="1"/>
      <c r="Q1190" s="3"/>
    </row>
    <row r="1191" spans="1:17" x14ac:dyDescent="0.25">
      <c r="B1191" s="1"/>
      <c r="C1191" s="1"/>
      <c r="D1191" s="1"/>
      <c r="E1191" s="1"/>
      <c r="F1191" s="1"/>
      <c r="G1191" s="1"/>
      <c r="H1191" s="3"/>
      <c r="K1191" s="1"/>
      <c r="L1191" s="1"/>
      <c r="M1191" s="1"/>
      <c r="N1191" s="1"/>
      <c r="O1191" s="1"/>
      <c r="P1191" s="1"/>
      <c r="Q1191" s="3"/>
    </row>
    <row r="1192" spans="1:17" x14ac:dyDescent="0.25">
      <c r="B1192" s="1"/>
      <c r="C1192" s="1"/>
      <c r="D1192" s="1"/>
      <c r="E1192" s="1"/>
      <c r="F1192" s="1"/>
      <c r="G1192" s="1"/>
      <c r="H1192" s="3"/>
      <c r="K1192" s="1"/>
      <c r="L1192" s="1"/>
      <c r="M1192" s="1"/>
      <c r="N1192" s="1"/>
      <c r="O1192" s="1"/>
      <c r="P1192" s="1"/>
      <c r="Q1192" s="3"/>
    </row>
    <row r="1193" spans="1:17" x14ac:dyDescent="0.25">
      <c r="B1193" s="1"/>
      <c r="C1193" s="1"/>
      <c r="D1193" s="1"/>
      <c r="E1193" s="1"/>
      <c r="F1193" s="1"/>
      <c r="G1193" s="1"/>
      <c r="H1193" s="3"/>
      <c r="I1193" s="1"/>
      <c r="J1193" s="1"/>
      <c r="K1193" s="1"/>
      <c r="L1193" s="1"/>
      <c r="M1193" s="1"/>
      <c r="N1193" s="1"/>
      <c r="O1193" s="1"/>
      <c r="P1193" s="1"/>
      <c r="Q1193" s="3"/>
    </row>
    <row r="1194" spans="1:17" x14ac:dyDescent="0.25">
      <c r="B1194" s="1"/>
      <c r="C1194" s="1"/>
      <c r="D1194" s="1"/>
      <c r="E1194" s="1"/>
      <c r="F1194" s="1"/>
      <c r="G1194" s="1"/>
      <c r="H1194" s="3"/>
      <c r="I1194" s="1"/>
      <c r="J1194" s="1"/>
      <c r="K1194" s="1"/>
      <c r="L1194" s="1"/>
      <c r="M1194" s="1"/>
      <c r="N1194" s="1"/>
      <c r="O1194" s="1"/>
      <c r="P1194" s="1"/>
      <c r="Q1194" s="3"/>
    </row>
    <row r="1195" spans="1:17" x14ac:dyDescent="0.25">
      <c r="B1195" s="1"/>
      <c r="C1195" s="1"/>
      <c r="D1195" s="1"/>
      <c r="E1195" s="1"/>
      <c r="F1195" s="1"/>
      <c r="G1195" s="1"/>
      <c r="H1195" s="3"/>
      <c r="K1195" s="1"/>
      <c r="L1195" s="1"/>
      <c r="M1195" s="1"/>
      <c r="N1195" s="1"/>
      <c r="O1195" s="1"/>
      <c r="P1195" s="1"/>
      <c r="Q1195" s="3"/>
    </row>
    <row r="1196" spans="1:17" x14ac:dyDescent="0.25">
      <c r="B1196" s="1"/>
      <c r="C1196" s="1"/>
      <c r="D1196" s="1"/>
      <c r="E1196" s="1"/>
      <c r="F1196" s="1"/>
      <c r="G1196" s="1"/>
      <c r="H1196" s="3"/>
      <c r="K1196" s="1"/>
      <c r="L1196" s="1"/>
      <c r="M1196" s="1"/>
      <c r="N1196" s="1"/>
      <c r="O1196" s="1"/>
      <c r="P1196" s="1"/>
      <c r="Q1196" s="3"/>
    </row>
    <row r="1197" spans="1:17" x14ac:dyDescent="0.25">
      <c r="B1197" s="1"/>
      <c r="C1197" s="1"/>
      <c r="D1197" s="1"/>
      <c r="E1197" s="1"/>
      <c r="F1197" s="1"/>
      <c r="G1197" s="1"/>
      <c r="H1197" s="3"/>
      <c r="K1197" s="1"/>
      <c r="L1197" s="1"/>
      <c r="M1197" s="1"/>
      <c r="N1197" s="1"/>
      <c r="O1197" s="1"/>
      <c r="P1197" s="1"/>
      <c r="Q1197" s="3"/>
    </row>
    <row r="1198" spans="1:17" x14ac:dyDescent="0.25">
      <c r="B1198" s="1"/>
      <c r="C1198" s="1"/>
      <c r="D1198" s="1"/>
      <c r="E1198" s="1"/>
      <c r="F1198" s="1"/>
      <c r="G1198" s="1"/>
      <c r="H1198" s="3"/>
      <c r="I1198" s="1"/>
      <c r="J1198" s="1"/>
      <c r="K1198" s="1"/>
      <c r="L1198" s="1"/>
      <c r="M1198" s="1"/>
      <c r="N1198" s="1"/>
      <c r="O1198" s="1"/>
      <c r="P1198" s="1"/>
      <c r="Q1198" s="3"/>
    </row>
    <row r="1199" spans="1:17" x14ac:dyDescent="0.25">
      <c r="K1199" s="1"/>
      <c r="L1199" s="1"/>
      <c r="M1199" s="1"/>
      <c r="N1199" s="1"/>
      <c r="O1199" s="1"/>
      <c r="P1199" s="1"/>
      <c r="Q1199" s="3"/>
    </row>
    <row r="1200" spans="1:17" x14ac:dyDescent="0.25">
      <c r="B1200" s="1"/>
      <c r="C1200" s="1"/>
      <c r="D1200" s="1"/>
      <c r="E1200" s="1"/>
      <c r="F1200" s="1"/>
      <c r="G1200" s="1"/>
      <c r="H1200" s="3"/>
      <c r="K1200" s="1"/>
      <c r="L1200" s="1"/>
      <c r="M1200" s="1"/>
      <c r="N1200" s="1"/>
      <c r="O1200" s="1"/>
      <c r="P1200" s="1"/>
      <c r="Q1200" s="3"/>
    </row>
    <row r="1201" spans="1:18" x14ac:dyDescent="0.25">
      <c r="B1201" s="1"/>
      <c r="C1201" s="1"/>
      <c r="D1201" s="1"/>
      <c r="E1201" s="1"/>
      <c r="F1201" s="1"/>
      <c r="G1201" s="1"/>
      <c r="H1201" s="3"/>
      <c r="I1201" s="1"/>
      <c r="J1201" s="1"/>
      <c r="K1201" s="1"/>
      <c r="L1201" s="1"/>
      <c r="M1201" s="1"/>
      <c r="N1201" s="1"/>
      <c r="O1201" s="1"/>
      <c r="P1201" s="1"/>
      <c r="Q1201" s="3"/>
      <c r="R1201" s="1"/>
    </row>
    <row r="1202" spans="1:18" x14ac:dyDescent="0.25">
      <c r="B1202" s="1"/>
      <c r="C1202" s="1"/>
      <c r="D1202" s="1"/>
      <c r="E1202" s="1"/>
      <c r="F1202" s="1"/>
      <c r="G1202" s="1"/>
      <c r="H1202" s="3"/>
      <c r="K1202" s="1"/>
      <c r="L1202" s="1"/>
      <c r="M1202" s="1"/>
      <c r="N1202" s="1"/>
      <c r="O1202" s="1"/>
      <c r="P1202" s="1"/>
      <c r="Q1202" s="3"/>
    </row>
    <row r="1203" spans="1:18" x14ac:dyDescent="0.25">
      <c r="B1203" s="1"/>
      <c r="C1203" s="1"/>
      <c r="D1203" s="1"/>
      <c r="E1203" s="1"/>
      <c r="F1203" s="1"/>
      <c r="G1203" s="1"/>
      <c r="H1203" s="3"/>
      <c r="K1203" s="1"/>
      <c r="L1203" s="1"/>
      <c r="M1203" s="1"/>
      <c r="N1203" s="1"/>
      <c r="O1203" s="1"/>
      <c r="P1203" s="1"/>
      <c r="Q1203" s="3"/>
    </row>
    <row r="1204" spans="1:18" x14ac:dyDescent="0.25">
      <c r="B1204" s="1"/>
      <c r="C1204" s="1"/>
      <c r="D1204" s="1"/>
      <c r="E1204" s="1"/>
      <c r="F1204" s="1"/>
      <c r="G1204" s="8"/>
      <c r="H1204" s="9"/>
      <c r="K1204" s="1"/>
      <c r="L1204" s="1"/>
      <c r="M1204" s="1"/>
      <c r="N1204" s="1"/>
      <c r="O1204" s="1"/>
      <c r="P1204" s="1"/>
      <c r="Q1204" s="3"/>
    </row>
    <row r="1205" spans="1:18" x14ac:dyDescent="0.25">
      <c r="A1205" s="7"/>
      <c r="B1205" s="1"/>
      <c r="C1205" s="1"/>
      <c r="D1205" s="1"/>
      <c r="E1205" s="1"/>
      <c r="F1205" s="1"/>
      <c r="G1205" s="1"/>
      <c r="H1205" s="3"/>
      <c r="K1205" s="10"/>
      <c r="L1205" s="10"/>
      <c r="M1205" s="10"/>
      <c r="N1205" s="10"/>
      <c r="O1205" s="10"/>
      <c r="P1205" s="1"/>
      <c r="Q1205" s="3"/>
    </row>
    <row r="1206" spans="1:18" x14ac:dyDescent="0.25">
      <c r="B1206" s="1"/>
      <c r="C1206" s="1"/>
      <c r="D1206" s="1"/>
      <c r="E1206" s="1"/>
      <c r="F1206" s="1"/>
      <c r="G1206" s="1"/>
      <c r="H1206" s="3"/>
      <c r="K1206" s="1"/>
      <c r="L1206" s="1"/>
      <c r="M1206" s="1"/>
      <c r="N1206" s="1"/>
      <c r="O1206" s="1"/>
      <c r="P1206" s="1"/>
      <c r="Q1206" s="3"/>
    </row>
    <row r="1207" spans="1:18" x14ac:dyDescent="0.25">
      <c r="B1207" s="1"/>
      <c r="C1207" s="1"/>
      <c r="D1207" s="1"/>
      <c r="E1207" s="1"/>
      <c r="F1207" s="1"/>
      <c r="G1207" s="1"/>
      <c r="H1207" s="3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8" x14ac:dyDescent="0.25">
      <c r="B1208" s="1"/>
      <c r="C1208" s="1"/>
      <c r="D1208" s="1"/>
      <c r="E1208" s="1"/>
      <c r="F1208" s="1"/>
      <c r="G1208" s="8"/>
      <c r="H1208" s="9"/>
      <c r="K1208" s="1"/>
      <c r="L1208" s="1"/>
      <c r="M1208" s="1"/>
      <c r="N1208" s="1"/>
      <c r="O1208" s="1"/>
      <c r="P1208" s="1"/>
      <c r="Q1208" s="3"/>
    </row>
    <row r="1209" spans="1:18" x14ac:dyDescent="0.25">
      <c r="B1209" s="1"/>
      <c r="C1209" s="1"/>
      <c r="D1209" s="1"/>
      <c r="E1209" s="1"/>
      <c r="F1209" s="1"/>
      <c r="G1209" s="1"/>
      <c r="H1209" s="3"/>
      <c r="K1209" s="1"/>
      <c r="L1209" s="1"/>
      <c r="M1209" s="1"/>
      <c r="N1209" s="1"/>
      <c r="O1209" s="1"/>
      <c r="P1209" s="1"/>
      <c r="Q1209" s="3"/>
    </row>
    <row r="1210" spans="1:18" x14ac:dyDescent="0.25">
      <c r="B1210" s="1"/>
      <c r="C1210" s="1"/>
      <c r="D1210" s="1"/>
      <c r="E1210" s="1"/>
      <c r="F1210" s="1"/>
      <c r="G1210" s="8"/>
      <c r="H1210" s="9"/>
      <c r="K1210" s="1"/>
      <c r="L1210" s="1"/>
      <c r="M1210" s="1"/>
      <c r="N1210" s="1"/>
      <c r="O1210" s="1"/>
      <c r="P1210" s="1"/>
      <c r="Q1210" s="3"/>
    </row>
    <row r="1211" spans="1:18" x14ac:dyDescent="0.25">
      <c r="A1211" s="7"/>
      <c r="B1211" s="1"/>
      <c r="C1211" s="1"/>
      <c r="D1211" s="1"/>
      <c r="E1211" s="1"/>
      <c r="F1211" s="1"/>
      <c r="G1211" s="1"/>
      <c r="H1211" s="3"/>
      <c r="K1211" s="10"/>
      <c r="L1211" s="10"/>
      <c r="M1211" s="10"/>
      <c r="N1211" s="10"/>
      <c r="O1211" s="10"/>
      <c r="P1211" s="1"/>
      <c r="Q1211" s="3"/>
    </row>
    <row r="1212" spans="1:18" x14ac:dyDescent="0.25">
      <c r="B1212" s="1"/>
      <c r="C1212" s="1"/>
      <c r="D1212" s="1"/>
      <c r="E1212" s="1"/>
      <c r="F1212" s="1"/>
      <c r="G1212" s="1"/>
      <c r="H1212" s="3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8" x14ac:dyDescent="0.25">
      <c r="B1213" s="1"/>
      <c r="C1213" s="1"/>
      <c r="D1213" s="1"/>
      <c r="E1213" s="1"/>
      <c r="F1213" s="1"/>
      <c r="G1213" s="1"/>
      <c r="H1213" s="3"/>
      <c r="K1213" s="1"/>
      <c r="L1213" s="1"/>
      <c r="M1213" s="1"/>
      <c r="N1213" s="1"/>
      <c r="O1213" s="1"/>
      <c r="P1213" s="1"/>
      <c r="Q1213" s="3"/>
    </row>
    <row r="1214" spans="1:18" x14ac:dyDescent="0.25">
      <c r="B1214" s="1"/>
      <c r="C1214" s="1"/>
      <c r="D1214" s="1"/>
      <c r="E1214" s="1"/>
      <c r="F1214" s="1"/>
      <c r="G1214" s="1"/>
      <c r="H1214" s="3"/>
      <c r="I1214" s="1"/>
      <c r="J1214" s="1"/>
      <c r="K1214" s="1"/>
      <c r="L1214" s="1"/>
      <c r="M1214" s="1"/>
      <c r="N1214" s="1"/>
      <c r="O1214" s="1"/>
      <c r="P1214" s="1"/>
      <c r="Q1214" s="3"/>
      <c r="R1214" s="1"/>
    </row>
    <row r="1215" spans="1:18" x14ac:dyDescent="0.25">
      <c r="B1215" s="1"/>
      <c r="C1215" s="1"/>
      <c r="D1215" s="1"/>
      <c r="E1215" s="1"/>
      <c r="F1215" s="1"/>
      <c r="G1215" s="1"/>
      <c r="H1215" s="3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8" x14ac:dyDescent="0.25">
      <c r="B1216" s="1"/>
      <c r="C1216" s="1"/>
      <c r="D1216" s="1"/>
      <c r="E1216" s="1"/>
      <c r="F1216" s="1"/>
      <c r="G1216" s="1"/>
      <c r="H1216" s="3"/>
      <c r="K1216" s="1"/>
      <c r="L1216" s="1"/>
      <c r="M1216" s="1"/>
      <c r="N1216" s="1"/>
      <c r="O1216" s="1"/>
      <c r="P1216" s="1"/>
      <c r="Q1216" s="3"/>
    </row>
    <row r="1217" spans="2:18" x14ac:dyDescent="0.25">
      <c r="K1217" s="1"/>
      <c r="L1217" s="1"/>
      <c r="M1217" s="1"/>
      <c r="N1217" s="1"/>
      <c r="O1217" s="1"/>
      <c r="P1217" s="1"/>
      <c r="Q1217" s="3"/>
    </row>
    <row r="1218" spans="2:18" x14ac:dyDescent="0.25">
      <c r="B1218" s="1"/>
      <c r="C1218" s="1"/>
      <c r="D1218" s="1"/>
      <c r="E1218" s="1"/>
      <c r="F1218" s="1"/>
      <c r="G1218" s="1"/>
      <c r="H1218" s="3"/>
      <c r="I1218" s="1"/>
      <c r="J1218" s="1"/>
      <c r="K1218" s="1"/>
      <c r="L1218" s="1"/>
      <c r="M1218" s="1"/>
      <c r="N1218" s="1"/>
      <c r="O1218" s="1"/>
      <c r="P1218" s="1"/>
      <c r="Q1218" s="3"/>
      <c r="R1218" s="1"/>
    </row>
    <row r="1219" spans="2:18" x14ac:dyDescent="0.25">
      <c r="B1219" s="1"/>
      <c r="C1219" s="1"/>
      <c r="D1219" s="1"/>
      <c r="E1219" s="1"/>
      <c r="F1219" s="1"/>
      <c r="G1219" s="1"/>
      <c r="H1219" s="3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2:18" x14ac:dyDescent="0.25">
      <c r="B1220" s="1"/>
      <c r="C1220" s="1"/>
      <c r="D1220" s="1"/>
      <c r="E1220" s="1"/>
      <c r="F1220" s="1"/>
      <c r="G1220" s="1"/>
      <c r="H1220" s="3"/>
      <c r="K1220" s="1"/>
      <c r="L1220" s="1"/>
      <c r="M1220" s="1"/>
      <c r="N1220" s="1"/>
      <c r="O1220" s="1"/>
      <c r="P1220" s="1"/>
      <c r="Q1220" s="3"/>
    </row>
    <row r="1221" spans="2:18" x14ac:dyDescent="0.25">
      <c r="B1221" s="1"/>
      <c r="C1221" s="1"/>
      <c r="D1221" s="1"/>
      <c r="E1221" s="1"/>
      <c r="F1221" s="1"/>
      <c r="G1221" s="1"/>
      <c r="H1221" s="3"/>
      <c r="K1221" s="1"/>
      <c r="L1221" s="1"/>
      <c r="M1221" s="1"/>
      <c r="N1221" s="1"/>
      <c r="O1221" s="1"/>
      <c r="P1221" s="1"/>
      <c r="Q1221" s="3"/>
    </row>
    <row r="1222" spans="2:18" x14ac:dyDescent="0.25">
      <c r="B1222" s="1"/>
      <c r="C1222" s="1"/>
      <c r="D1222" s="1"/>
      <c r="E1222" s="1"/>
      <c r="F1222" s="1"/>
      <c r="G1222" s="1"/>
      <c r="H1222" s="3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2:18" x14ac:dyDescent="0.25">
      <c r="B1223" s="1"/>
      <c r="C1223" s="1"/>
      <c r="D1223" s="1"/>
      <c r="E1223" s="1"/>
      <c r="F1223" s="1"/>
      <c r="G1223" s="1"/>
      <c r="H1223" s="3"/>
      <c r="K1223" s="1"/>
      <c r="L1223" s="1"/>
      <c r="M1223" s="1"/>
      <c r="N1223" s="1"/>
      <c r="O1223" s="1"/>
      <c r="P1223" s="1"/>
      <c r="Q1223" s="3"/>
    </row>
    <row r="1224" spans="2:18" x14ac:dyDescent="0.25">
      <c r="B1224" s="1"/>
      <c r="C1224" s="1"/>
      <c r="D1224" s="1"/>
      <c r="E1224" s="1"/>
      <c r="F1224" s="1"/>
      <c r="G1224" s="1"/>
      <c r="H1224" s="3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2:18" x14ac:dyDescent="0.25">
      <c r="B1225" s="1"/>
      <c r="C1225" s="1"/>
      <c r="D1225" s="1"/>
      <c r="E1225" s="1"/>
      <c r="F1225" s="1"/>
      <c r="G1225" s="1"/>
      <c r="H1225" s="3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2:18" x14ac:dyDescent="0.25">
      <c r="B1226" s="1"/>
      <c r="C1226" s="1"/>
      <c r="D1226" s="1"/>
      <c r="E1226" s="1"/>
      <c r="F1226" s="1"/>
      <c r="G1226" s="1"/>
      <c r="H1226" s="3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2:18" x14ac:dyDescent="0.25">
      <c r="B1227" s="1"/>
      <c r="C1227" s="1"/>
      <c r="D1227" s="1"/>
      <c r="E1227" s="1"/>
      <c r="F1227" s="1"/>
      <c r="G1227" s="1"/>
      <c r="H1227" s="3"/>
      <c r="I1227" s="1"/>
      <c r="J1227" s="1"/>
      <c r="K1227" s="1"/>
      <c r="L1227" s="1"/>
      <c r="M1227" s="1"/>
      <c r="N1227" s="1"/>
      <c r="O1227" s="1"/>
      <c r="P1227" s="1"/>
      <c r="Q1227" s="3"/>
      <c r="R1227" s="1"/>
    </row>
    <row r="1228" spans="2:18" x14ac:dyDescent="0.25">
      <c r="B1228" s="1"/>
      <c r="C1228" s="1"/>
      <c r="D1228" s="1"/>
      <c r="E1228" s="1"/>
      <c r="F1228" s="1"/>
      <c r="G1228" s="1"/>
      <c r="H1228" s="3"/>
      <c r="K1228" s="1"/>
      <c r="L1228" s="1"/>
      <c r="M1228" s="1"/>
      <c r="N1228" s="1"/>
      <c r="O1228" s="1"/>
      <c r="P1228" s="1"/>
      <c r="Q1228" s="3"/>
    </row>
    <row r="1229" spans="2:18" x14ac:dyDescent="0.25">
      <c r="B1229" s="1"/>
      <c r="C1229" s="1"/>
      <c r="D1229" s="1"/>
      <c r="E1229" s="1"/>
      <c r="F1229" s="1"/>
      <c r="G1229" s="1"/>
      <c r="H1229" s="3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2:18" x14ac:dyDescent="0.25">
      <c r="B1230" s="1"/>
      <c r="C1230" s="1"/>
      <c r="D1230" s="1"/>
      <c r="E1230" s="1"/>
      <c r="F1230" s="1"/>
      <c r="G1230" s="1"/>
      <c r="H1230" s="3"/>
      <c r="K1230" s="1"/>
      <c r="L1230" s="1"/>
      <c r="M1230" s="1"/>
      <c r="N1230" s="1"/>
      <c r="O1230" s="1"/>
      <c r="P1230" s="1"/>
      <c r="Q1230" s="3"/>
    </row>
    <row r="1231" spans="2:18" x14ac:dyDescent="0.25">
      <c r="B1231" s="1"/>
      <c r="C1231" s="1"/>
      <c r="D1231" s="1"/>
      <c r="E1231" s="1"/>
      <c r="F1231" s="1"/>
      <c r="G1231" s="1"/>
      <c r="H1231" s="3"/>
      <c r="K1231" s="1"/>
      <c r="L1231" s="1"/>
      <c r="M1231" s="1"/>
      <c r="N1231" s="1"/>
      <c r="O1231" s="1"/>
      <c r="P1231" s="1"/>
      <c r="Q1231" s="3"/>
    </row>
    <row r="1232" spans="2:18" x14ac:dyDescent="0.25">
      <c r="B1232" s="1"/>
      <c r="C1232" s="1"/>
      <c r="D1232" s="1"/>
      <c r="E1232" s="1"/>
      <c r="F1232" s="1"/>
      <c r="G1232" s="1"/>
      <c r="H1232" s="3"/>
      <c r="K1232" s="1"/>
      <c r="L1232" s="1"/>
      <c r="M1232" s="1"/>
      <c r="N1232" s="1"/>
      <c r="O1232" s="1"/>
      <c r="P1232" s="1"/>
      <c r="Q1232" s="3"/>
    </row>
    <row r="1233" spans="1:18" x14ac:dyDescent="0.25">
      <c r="B1233" s="1"/>
      <c r="C1233" s="1"/>
      <c r="D1233" s="1"/>
      <c r="E1233" s="1"/>
      <c r="F1233" s="1"/>
      <c r="G1233" s="1"/>
      <c r="H1233" s="3"/>
      <c r="I1233" s="1"/>
      <c r="J1233" s="1"/>
      <c r="K1233" s="1"/>
      <c r="L1233" s="1"/>
      <c r="M1233" s="1"/>
      <c r="N1233" s="1"/>
      <c r="O1233" s="1"/>
      <c r="P1233" s="1"/>
      <c r="Q1233" s="3"/>
      <c r="R1233" s="1"/>
    </row>
    <row r="1234" spans="1:18" x14ac:dyDescent="0.25">
      <c r="K1234" s="1"/>
      <c r="L1234" s="1"/>
      <c r="M1234" s="1"/>
      <c r="N1234" s="1"/>
      <c r="O1234" s="1"/>
      <c r="P1234" s="1"/>
      <c r="Q1234" s="3"/>
    </row>
    <row r="1235" spans="1:18" x14ac:dyDescent="0.25">
      <c r="B1235" s="1"/>
      <c r="C1235" s="1"/>
      <c r="D1235" s="1"/>
      <c r="E1235" s="1"/>
      <c r="F1235" s="1"/>
      <c r="G1235" s="8"/>
      <c r="H1235" s="9"/>
      <c r="K1235" s="1"/>
      <c r="L1235" s="1"/>
      <c r="M1235" s="1"/>
      <c r="N1235" s="1"/>
      <c r="O1235" s="1"/>
      <c r="P1235" s="1"/>
      <c r="Q1235" s="3"/>
    </row>
    <row r="1236" spans="1:18" x14ac:dyDescent="0.25">
      <c r="B1236" s="1"/>
      <c r="C1236" s="1"/>
      <c r="D1236" s="1"/>
      <c r="E1236" s="1"/>
      <c r="F1236" s="1"/>
      <c r="G1236" s="1"/>
      <c r="H1236" s="3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8" x14ac:dyDescent="0.25">
      <c r="A1237" s="7"/>
      <c r="B1237" s="1"/>
      <c r="C1237" s="1"/>
      <c r="D1237" s="1"/>
      <c r="E1237" s="1"/>
      <c r="F1237" s="1"/>
      <c r="G1237" s="1"/>
      <c r="H1237" s="3"/>
      <c r="K1237" s="10"/>
      <c r="L1237" s="10"/>
      <c r="M1237" s="10"/>
      <c r="N1237" s="10"/>
      <c r="O1237" s="10"/>
      <c r="P1237" s="1"/>
      <c r="Q1237" s="3"/>
    </row>
    <row r="1238" spans="1:18" x14ac:dyDescent="0.25">
      <c r="B1238" s="1"/>
      <c r="C1238" s="1"/>
      <c r="D1238" s="1"/>
      <c r="E1238" s="1"/>
      <c r="F1238" s="1"/>
      <c r="G1238" s="1"/>
      <c r="H1238" s="3"/>
      <c r="K1238" s="1"/>
      <c r="L1238" s="1"/>
      <c r="M1238" s="1"/>
      <c r="N1238" s="1"/>
      <c r="O1238" s="1"/>
      <c r="P1238" s="1"/>
      <c r="Q1238" s="3"/>
    </row>
    <row r="1239" spans="1:18" x14ac:dyDescent="0.25">
      <c r="B1239" s="1"/>
      <c r="C1239" s="1"/>
      <c r="D1239" s="1"/>
      <c r="E1239" s="1"/>
      <c r="F1239" s="1"/>
      <c r="G1239" s="1"/>
      <c r="H1239" s="3"/>
      <c r="K1239" s="1"/>
      <c r="L1239" s="1"/>
      <c r="M1239" s="1"/>
      <c r="N1239" s="1"/>
      <c r="O1239" s="1"/>
      <c r="P1239" s="1"/>
      <c r="Q1239" s="3"/>
    </row>
    <row r="1240" spans="1:18" x14ac:dyDescent="0.25">
      <c r="B1240" s="1"/>
      <c r="C1240" s="1"/>
      <c r="D1240" s="1"/>
      <c r="E1240" s="1"/>
      <c r="F1240" s="1"/>
      <c r="G1240" s="1"/>
      <c r="H1240" s="3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8" x14ac:dyDescent="0.25">
      <c r="A1241" s="7"/>
      <c r="B1241" s="1"/>
      <c r="C1241" s="1"/>
      <c r="D1241" s="1"/>
      <c r="E1241" s="1"/>
      <c r="F1241" s="1"/>
      <c r="G1241" s="1"/>
      <c r="H1241" s="3"/>
      <c r="K1241" s="10"/>
      <c r="L1241" s="10"/>
      <c r="M1241" s="10"/>
      <c r="N1241" s="10"/>
      <c r="O1241" s="10"/>
      <c r="P1241" s="1"/>
      <c r="Q1241" s="3"/>
    </row>
    <row r="1242" spans="1:18" x14ac:dyDescent="0.25">
      <c r="B1242" s="1"/>
      <c r="C1242" s="1"/>
      <c r="D1242" s="1"/>
      <c r="E1242" s="1"/>
      <c r="F1242" s="1"/>
      <c r="G1242" s="1"/>
      <c r="H1242" s="3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8" x14ac:dyDescent="0.25">
      <c r="B1243" s="1"/>
      <c r="C1243" s="1"/>
      <c r="D1243" s="1"/>
      <c r="E1243" s="1"/>
      <c r="F1243" s="1"/>
      <c r="G1243" s="1"/>
      <c r="H1243" s="3"/>
      <c r="K1243" s="1"/>
      <c r="L1243" s="1"/>
      <c r="M1243" s="1"/>
      <c r="N1243" s="1"/>
      <c r="O1243" s="1"/>
      <c r="P1243" s="1"/>
      <c r="Q1243" s="3"/>
    </row>
    <row r="1244" spans="1:18" x14ac:dyDescent="0.25">
      <c r="B1244" s="1"/>
      <c r="C1244" s="1"/>
      <c r="D1244" s="1"/>
      <c r="E1244" s="1"/>
      <c r="F1244" s="1"/>
      <c r="G1244" s="1"/>
      <c r="H1244" s="3"/>
      <c r="K1244" s="1"/>
      <c r="L1244" s="1"/>
      <c r="M1244" s="1"/>
      <c r="N1244" s="1"/>
      <c r="O1244" s="1"/>
      <c r="P1244" s="1"/>
      <c r="Q1244" s="3"/>
    </row>
    <row r="1245" spans="1:18" x14ac:dyDescent="0.25">
      <c r="B1245" s="1"/>
      <c r="C1245" s="1"/>
      <c r="D1245" s="1"/>
      <c r="E1245" s="1"/>
      <c r="F1245" s="1"/>
      <c r="G1245" s="1"/>
      <c r="H1245" s="3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8" x14ac:dyDescent="0.25">
      <c r="B1246" s="1"/>
      <c r="C1246" s="1"/>
      <c r="D1246" s="1"/>
      <c r="E1246" s="1"/>
      <c r="F1246" s="1"/>
      <c r="G1246" s="1"/>
      <c r="H1246" s="3"/>
      <c r="K1246" s="1"/>
      <c r="L1246" s="1"/>
      <c r="M1246" s="1"/>
      <c r="N1246" s="1"/>
      <c r="O1246" s="1"/>
      <c r="P1246" s="1"/>
      <c r="Q1246" s="3"/>
    </row>
    <row r="1247" spans="1:18" x14ac:dyDescent="0.25">
      <c r="K1247" s="1"/>
      <c r="L1247" s="1"/>
      <c r="M1247" s="1"/>
      <c r="N1247" s="1"/>
      <c r="O1247" s="1"/>
      <c r="P1247" s="1"/>
      <c r="Q1247" s="3"/>
    </row>
    <row r="1248" spans="1:18" x14ac:dyDescent="0.25">
      <c r="B1248" s="1"/>
      <c r="C1248" s="1"/>
      <c r="D1248" s="1"/>
      <c r="E1248" s="1"/>
      <c r="F1248" s="1"/>
      <c r="G1248" s="1"/>
      <c r="H1248" s="3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2:18" x14ac:dyDescent="0.25">
      <c r="B1249" s="1"/>
      <c r="C1249" s="1"/>
      <c r="D1249" s="1"/>
      <c r="E1249" s="1"/>
      <c r="F1249" s="1"/>
      <c r="G1249" s="1"/>
      <c r="H1249" s="3"/>
      <c r="K1249" s="1"/>
      <c r="L1249" s="1"/>
      <c r="M1249" s="1"/>
      <c r="N1249" s="1"/>
      <c r="O1249" s="1"/>
      <c r="P1249" s="1"/>
      <c r="Q1249" s="3"/>
    </row>
    <row r="1250" spans="2:18" x14ac:dyDescent="0.25">
      <c r="B1250" s="1"/>
      <c r="C1250" s="1"/>
      <c r="D1250" s="1"/>
      <c r="E1250" s="1"/>
      <c r="F1250" s="1"/>
      <c r="G1250" s="1"/>
      <c r="H1250" s="3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2:18" x14ac:dyDescent="0.25">
      <c r="B1251" s="1"/>
      <c r="C1251" s="1"/>
      <c r="D1251" s="1"/>
      <c r="E1251" s="1"/>
      <c r="F1251" s="1"/>
      <c r="G1251" s="1"/>
      <c r="H1251" s="3"/>
      <c r="K1251" s="1"/>
      <c r="L1251" s="1"/>
      <c r="M1251" s="1"/>
      <c r="N1251" s="1"/>
      <c r="O1251" s="1"/>
      <c r="P1251" s="1"/>
      <c r="Q1251" s="3"/>
    </row>
    <row r="1252" spans="2:18" x14ac:dyDescent="0.25">
      <c r="B1252" s="1"/>
      <c r="C1252" s="1"/>
      <c r="D1252" s="1"/>
      <c r="E1252" s="1"/>
      <c r="F1252" s="1"/>
      <c r="G1252" s="1"/>
      <c r="H1252" s="3"/>
      <c r="K1252" s="1"/>
      <c r="L1252" s="1"/>
      <c r="M1252" s="1"/>
      <c r="N1252" s="1"/>
      <c r="O1252" s="1"/>
      <c r="P1252" s="1"/>
      <c r="Q1252" s="3"/>
    </row>
    <row r="1253" spans="2:18" x14ac:dyDescent="0.25">
      <c r="B1253" s="1"/>
      <c r="C1253" s="1"/>
      <c r="D1253" s="1"/>
      <c r="E1253" s="1"/>
      <c r="F1253" s="1"/>
      <c r="G1253" s="1"/>
      <c r="H1253" s="3"/>
      <c r="K1253" s="1"/>
      <c r="L1253" s="1"/>
      <c r="M1253" s="1"/>
      <c r="N1253" s="1"/>
      <c r="O1253" s="1"/>
      <c r="P1253" s="1"/>
      <c r="Q1253" s="3"/>
    </row>
    <row r="1254" spans="2:18" x14ac:dyDescent="0.25">
      <c r="B1254" s="1"/>
      <c r="C1254" s="1"/>
      <c r="D1254" s="1"/>
      <c r="E1254" s="1"/>
      <c r="F1254" s="1"/>
      <c r="G1254" s="1"/>
      <c r="H1254" s="3"/>
      <c r="K1254" s="1"/>
      <c r="L1254" s="1"/>
      <c r="M1254" s="1"/>
      <c r="N1254" s="1"/>
      <c r="O1254" s="1"/>
      <c r="P1254" s="1"/>
      <c r="Q1254" s="3"/>
    </row>
    <row r="1255" spans="2:18" x14ac:dyDescent="0.25">
      <c r="K1255" s="1"/>
      <c r="L1255" s="1"/>
      <c r="M1255" s="1"/>
      <c r="N1255" s="1"/>
      <c r="O1255" s="1"/>
      <c r="P1255" s="1"/>
      <c r="Q1255" s="3"/>
    </row>
    <row r="1256" spans="2:18" x14ac:dyDescent="0.25">
      <c r="B1256" s="1"/>
      <c r="C1256" s="1"/>
      <c r="D1256" s="1"/>
      <c r="E1256" s="1"/>
      <c r="F1256" s="1"/>
      <c r="G1256" s="1"/>
      <c r="H1256" s="3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2:18" x14ac:dyDescent="0.25">
      <c r="B1257" s="1"/>
      <c r="C1257" s="1"/>
      <c r="D1257" s="1"/>
      <c r="E1257" s="1"/>
      <c r="F1257" s="1"/>
      <c r="G1257" s="1"/>
      <c r="H1257" s="3"/>
      <c r="K1257" s="1"/>
      <c r="L1257" s="1"/>
      <c r="M1257" s="1"/>
      <c r="N1257" s="1"/>
      <c r="O1257" s="1"/>
      <c r="P1257" s="1"/>
      <c r="Q1257" s="3"/>
    </row>
    <row r="1258" spans="2:18" x14ac:dyDescent="0.25">
      <c r="B1258" s="1"/>
      <c r="C1258" s="1"/>
      <c r="D1258" s="1"/>
      <c r="E1258" s="1"/>
      <c r="F1258" s="1"/>
      <c r="G1258" s="1"/>
      <c r="H1258" s="3"/>
      <c r="K1258" s="1"/>
      <c r="L1258" s="1"/>
      <c r="M1258" s="1"/>
      <c r="N1258" s="1"/>
      <c r="O1258" s="1"/>
      <c r="P1258" s="1"/>
      <c r="Q1258" s="3"/>
    </row>
    <row r="1259" spans="2:18" x14ac:dyDescent="0.25">
      <c r="B1259" s="1"/>
      <c r="C1259" s="1"/>
      <c r="D1259" s="1"/>
      <c r="E1259" s="1"/>
      <c r="F1259" s="1"/>
      <c r="G1259" s="1"/>
      <c r="H1259" s="3"/>
      <c r="I1259" s="1"/>
      <c r="J1259" s="1"/>
      <c r="K1259" s="1"/>
      <c r="L1259" s="1"/>
      <c r="M1259" s="1"/>
      <c r="N1259" s="1"/>
      <c r="O1259" s="1"/>
      <c r="P1259" s="1"/>
      <c r="Q1259" s="3"/>
      <c r="R1259" s="1"/>
    </row>
    <row r="1260" spans="2:18" x14ac:dyDescent="0.25">
      <c r="B1260" s="1"/>
      <c r="C1260" s="1"/>
      <c r="D1260" s="1"/>
      <c r="E1260" s="1"/>
      <c r="F1260" s="1"/>
      <c r="G1260" s="1"/>
      <c r="H1260" s="3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2:18" x14ac:dyDescent="0.25">
      <c r="B1261" s="1"/>
      <c r="C1261" s="1"/>
      <c r="D1261" s="1"/>
      <c r="E1261" s="1"/>
      <c r="F1261" s="1"/>
      <c r="G1261" s="1"/>
      <c r="H1261" s="3"/>
      <c r="K1261" s="1"/>
      <c r="L1261" s="1"/>
      <c r="M1261" s="1"/>
      <c r="N1261" s="1"/>
      <c r="O1261" s="1"/>
      <c r="P1261" s="1"/>
      <c r="Q1261" s="3"/>
    </row>
    <row r="1262" spans="2:18" x14ac:dyDescent="0.25">
      <c r="B1262" s="1"/>
      <c r="C1262" s="1"/>
      <c r="D1262" s="1"/>
      <c r="E1262" s="1"/>
      <c r="F1262" s="1"/>
      <c r="G1262" s="1"/>
      <c r="H1262" s="3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2:18" x14ac:dyDescent="0.25">
      <c r="B1263" s="1"/>
      <c r="C1263" s="1"/>
      <c r="D1263" s="1"/>
      <c r="E1263" s="1"/>
      <c r="F1263" s="1"/>
      <c r="G1263" s="1"/>
      <c r="H1263" s="3"/>
      <c r="I1263" s="1"/>
      <c r="J1263" s="1"/>
      <c r="K1263" s="1"/>
      <c r="L1263" s="1"/>
      <c r="M1263" s="1"/>
      <c r="N1263" s="1"/>
      <c r="O1263" s="1"/>
      <c r="P1263" s="1"/>
      <c r="Q1263" s="3"/>
      <c r="R1263" s="1"/>
    </row>
    <row r="1264" spans="2:18" x14ac:dyDescent="0.25">
      <c r="B1264" s="1"/>
      <c r="C1264" s="1"/>
      <c r="D1264" s="1"/>
      <c r="E1264" s="1"/>
      <c r="F1264" s="1"/>
      <c r="G1264" s="1"/>
      <c r="H1264" s="3"/>
      <c r="K1264" s="1"/>
      <c r="L1264" s="1"/>
      <c r="M1264" s="1"/>
      <c r="N1264" s="1"/>
      <c r="O1264" s="1"/>
      <c r="P1264" s="1"/>
      <c r="Q1264" s="3"/>
    </row>
    <row r="1265" spans="1:18" x14ac:dyDescent="0.25">
      <c r="B1265" s="1"/>
      <c r="C1265" s="1"/>
      <c r="D1265" s="1"/>
      <c r="E1265" s="1"/>
      <c r="F1265" s="1"/>
      <c r="G1265" s="1"/>
      <c r="H1265" s="3"/>
      <c r="K1265" s="1"/>
      <c r="L1265" s="1"/>
      <c r="M1265" s="1"/>
      <c r="N1265" s="1"/>
      <c r="O1265" s="1"/>
      <c r="P1265" s="1"/>
      <c r="Q1265" s="3"/>
    </row>
    <row r="1266" spans="1:18" x14ac:dyDescent="0.25">
      <c r="B1266" s="1"/>
      <c r="C1266" s="1"/>
      <c r="D1266" s="1"/>
      <c r="E1266" s="1"/>
      <c r="F1266" s="1"/>
      <c r="G1266" s="1"/>
      <c r="H1266" s="3"/>
      <c r="K1266" s="1"/>
      <c r="L1266" s="1"/>
      <c r="M1266" s="1"/>
      <c r="N1266" s="1"/>
      <c r="O1266" s="1"/>
      <c r="P1266" s="1"/>
      <c r="Q1266" s="3"/>
    </row>
    <row r="1267" spans="1:18" x14ac:dyDescent="0.25">
      <c r="B1267" s="1"/>
      <c r="C1267" s="1"/>
      <c r="D1267" s="1"/>
      <c r="E1267" s="1"/>
      <c r="F1267" s="1"/>
      <c r="G1267" s="1"/>
      <c r="H1267" s="3"/>
      <c r="K1267" s="1"/>
      <c r="L1267" s="1"/>
      <c r="M1267" s="1"/>
      <c r="N1267" s="1"/>
      <c r="O1267" s="1"/>
      <c r="P1267" s="1"/>
      <c r="Q1267" s="3"/>
    </row>
    <row r="1268" spans="1:18" x14ac:dyDescent="0.25">
      <c r="B1268" s="1"/>
      <c r="C1268" s="1"/>
      <c r="D1268" s="1"/>
      <c r="E1268" s="1"/>
      <c r="F1268" s="1"/>
      <c r="G1268" s="1"/>
      <c r="H1268" s="3"/>
      <c r="K1268" s="1"/>
      <c r="L1268" s="1"/>
      <c r="M1268" s="1"/>
      <c r="N1268" s="1"/>
      <c r="O1268" s="1"/>
      <c r="P1268" s="1"/>
      <c r="Q1268" s="3"/>
    </row>
    <row r="1269" spans="1:18" x14ac:dyDescent="0.25">
      <c r="B1269" s="1"/>
      <c r="C1269" s="1"/>
      <c r="D1269" s="1"/>
      <c r="E1269" s="1"/>
      <c r="F1269" s="1"/>
      <c r="G1269" s="1"/>
      <c r="H1269" s="3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8" x14ac:dyDescent="0.25">
      <c r="K1270" s="1"/>
      <c r="L1270" s="1"/>
      <c r="M1270" s="1"/>
      <c r="N1270" s="1"/>
      <c r="O1270" s="1"/>
      <c r="P1270" s="1"/>
      <c r="Q1270" s="3"/>
    </row>
    <row r="1271" spans="1:18" x14ac:dyDescent="0.25">
      <c r="B1271" s="1"/>
      <c r="C1271" s="1"/>
      <c r="D1271" s="1"/>
      <c r="E1271" s="1"/>
      <c r="F1271" s="1"/>
      <c r="G1271" s="1"/>
      <c r="H1271" s="3"/>
      <c r="K1271" s="1"/>
      <c r="L1271" s="1"/>
      <c r="M1271" s="1"/>
      <c r="N1271" s="1"/>
      <c r="O1271" s="1"/>
      <c r="P1271" s="1"/>
      <c r="Q1271" s="3"/>
    </row>
    <row r="1272" spans="1:18" x14ac:dyDescent="0.25">
      <c r="B1272" s="1"/>
      <c r="C1272" s="1"/>
      <c r="D1272" s="1"/>
      <c r="E1272" s="1"/>
      <c r="F1272" s="1"/>
      <c r="G1272" s="1"/>
      <c r="H1272" s="3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8" x14ac:dyDescent="0.25">
      <c r="B1273" s="1"/>
      <c r="C1273" s="1"/>
      <c r="D1273" s="1"/>
      <c r="E1273" s="1"/>
      <c r="F1273" s="1"/>
      <c r="G1273" s="1"/>
      <c r="H1273" s="3"/>
      <c r="I1273" s="1"/>
      <c r="J1273" s="1"/>
      <c r="K1273" s="1"/>
      <c r="L1273" s="1"/>
      <c r="M1273" s="1"/>
      <c r="N1273" s="1"/>
      <c r="O1273" s="1"/>
      <c r="P1273" s="1"/>
      <c r="Q1273" s="3"/>
      <c r="R1273" s="1"/>
    </row>
    <row r="1274" spans="1:18" x14ac:dyDescent="0.25">
      <c r="A1274" s="7"/>
      <c r="B1274" s="1"/>
      <c r="C1274" s="1"/>
      <c r="D1274" s="1"/>
      <c r="E1274" s="1"/>
      <c r="F1274" s="1"/>
      <c r="G1274" s="1"/>
      <c r="H1274" s="3"/>
      <c r="K1274" s="10"/>
      <c r="L1274" s="10"/>
      <c r="M1274" s="10"/>
      <c r="N1274" s="10"/>
      <c r="O1274" s="10"/>
      <c r="P1274" s="1"/>
      <c r="Q1274" s="3"/>
    </row>
    <row r="1275" spans="1:18" x14ac:dyDescent="0.25">
      <c r="B1275" s="1"/>
      <c r="C1275" s="1"/>
      <c r="D1275" s="1"/>
      <c r="E1275" s="1"/>
      <c r="F1275" s="1"/>
      <c r="G1275" s="1"/>
      <c r="H1275" s="3"/>
      <c r="K1275" s="1"/>
      <c r="L1275" s="1"/>
      <c r="M1275" s="1"/>
      <c r="N1275" s="1"/>
      <c r="O1275" s="1"/>
      <c r="P1275" s="1"/>
      <c r="Q1275" s="3"/>
    </row>
    <row r="1276" spans="1:18" x14ac:dyDescent="0.25">
      <c r="B1276" s="1"/>
      <c r="C1276" s="1"/>
      <c r="D1276" s="1"/>
      <c r="E1276" s="1"/>
      <c r="F1276" s="1"/>
      <c r="G1276" s="1"/>
      <c r="H1276" s="3"/>
      <c r="K1276" s="1"/>
      <c r="L1276" s="1"/>
      <c r="M1276" s="1"/>
      <c r="N1276" s="1"/>
      <c r="O1276" s="1"/>
      <c r="P1276" s="1"/>
      <c r="Q1276" s="3"/>
    </row>
    <row r="1277" spans="1:18" x14ac:dyDescent="0.25">
      <c r="B1277" s="1"/>
      <c r="C1277" s="1"/>
      <c r="D1277" s="1"/>
      <c r="E1277" s="1"/>
      <c r="F1277" s="1"/>
      <c r="G1277" s="1"/>
      <c r="H1277" s="3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8" x14ac:dyDescent="0.25">
      <c r="B1278" s="1"/>
      <c r="C1278" s="1"/>
      <c r="D1278" s="1"/>
      <c r="E1278" s="1"/>
      <c r="F1278" s="1"/>
      <c r="G1278" s="1"/>
      <c r="H1278" s="3"/>
      <c r="K1278" s="1"/>
      <c r="L1278" s="1"/>
      <c r="M1278" s="1"/>
      <c r="N1278" s="1"/>
      <c r="O1278" s="1"/>
      <c r="P1278" s="1"/>
      <c r="Q1278" s="3"/>
    </row>
    <row r="1279" spans="1:18" x14ac:dyDescent="0.25">
      <c r="B1279" s="1"/>
      <c r="C1279" s="1"/>
      <c r="D1279" s="1"/>
      <c r="E1279" s="1"/>
      <c r="F1279" s="1"/>
      <c r="G1279" s="1"/>
      <c r="H1279" s="3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8" x14ac:dyDescent="0.25">
      <c r="B1280" s="1"/>
      <c r="C1280" s="1"/>
      <c r="D1280" s="1"/>
      <c r="E1280" s="1"/>
      <c r="F1280" s="1"/>
      <c r="G1280" s="8"/>
      <c r="H1280" s="9"/>
      <c r="K1280" s="1"/>
      <c r="L1280" s="1"/>
      <c r="M1280" s="1"/>
      <c r="N1280" s="1"/>
      <c r="O1280" s="1"/>
      <c r="P1280" s="1"/>
      <c r="Q1280" s="3"/>
    </row>
    <row r="1281" spans="1:18" x14ac:dyDescent="0.25">
      <c r="B1281" s="1"/>
      <c r="C1281" s="1"/>
      <c r="D1281" s="1"/>
      <c r="E1281" s="1"/>
      <c r="F1281" s="1"/>
      <c r="G1281" s="1"/>
      <c r="H1281" s="3"/>
      <c r="K1281" s="1"/>
      <c r="L1281" s="1"/>
      <c r="M1281" s="1"/>
      <c r="N1281" s="1"/>
      <c r="O1281" s="1"/>
      <c r="P1281" s="1"/>
      <c r="Q1281" s="3"/>
    </row>
    <row r="1282" spans="1:18" x14ac:dyDescent="0.25">
      <c r="B1282" s="1"/>
      <c r="C1282" s="1"/>
      <c r="D1282" s="1"/>
      <c r="E1282" s="1"/>
      <c r="F1282" s="1"/>
      <c r="G1282" s="8"/>
      <c r="H1282" s="9"/>
      <c r="K1282" s="1"/>
      <c r="L1282" s="1"/>
      <c r="M1282" s="1"/>
      <c r="N1282" s="1"/>
      <c r="O1282" s="1"/>
      <c r="P1282" s="1"/>
      <c r="Q1282" s="3"/>
    </row>
    <row r="1283" spans="1:18" x14ac:dyDescent="0.25">
      <c r="A1283" s="7"/>
      <c r="B1283" s="1"/>
      <c r="C1283" s="1"/>
      <c r="D1283" s="1"/>
      <c r="E1283" s="1"/>
      <c r="F1283" s="1"/>
      <c r="G1283" s="1"/>
      <c r="H1283" s="3"/>
      <c r="K1283" s="10"/>
      <c r="L1283" s="10"/>
      <c r="M1283" s="10"/>
      <c r="N1283" s="10"/>
      <c r="O1283" s="10"/>
      <c r="P1283" s="1"/>
      <c r="Q1283" s="3"/>
    </row>
    <row r="1284" spans="1:18" x14ac:dyDescent="0.25">
      <c r="B1284" s="1"/>
      <c r="C1284" s="1"/>
      <c r="D1284" s="1"/>
      <c r="E1284" s="1"/>
      <c r="F1284" s="1"/>
      <c r="G1284" s="1"/>
      <c r="H1284" s="3"/>
      <c r="K1284" s="1"/>
      <c r="L1284" s="1"/>
      <c r="M1284" s="1"/>
      <c r="N1284" s="1"/>
      <c r="O1284" s="1"/>
      <c r="P1284" s="1"/>
      <c r="Q1284" s="3"/>
    </row>
    <row r="1285" spans="1:18" x14ac:dyDescent="0.25">
      <c r="B1285" s="1"/>
      <c r="C1285" s="1"/>
      <c r="D1285" s="1"/>
      <c r="E1285" s="1"/>
      <c r="F1285" s="1"/>
      <c r="G1285" s="1"/>
      <c r="H1285" s="3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8" x14ac:dyDescent="0.25">
      <c r="B1286" s="1"/>
      <c r="C1286" s="1"/>
      <c r="D1286" s="1"/>
      <c r="E1286" s="1"/>
      <c r="F1286" s="1"/>
      <c r="G1286" s="1"/>
      <c r="H1286" s="3"/>
      <c r="K1286" s="1"/>
      <c r="L1286" s="1"/>
      <c r="M1286" s="1"/>
      <c r="N1286" s="1"/>
      <c r="O1286" s="1"/>
      <c r="P1286" s="1"/>
      <c r="Q1286" s="3"/>
    </row>
    <row r="1287" spans="1:18" x14ac:dyDescent="0.25">
      <c r="B1287" s="1"/>
      <c r="C1287" s="1"/>
      <c r="D1287" s="1"/>
      <c r="E1287" s="1"/>
      <c r="F1287" s="1"/>
      <c r="G1287" s="1"/>
      <c r="H1287" s="3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8" x14ac:dyDescent="0.25">
      <c r="K1288" s="1"/>
      <c r="L1288" s="1"/>
      <c r="M1288" s="1"/>
      <c r="N1288" s="1"/>
      <c r="O1288" s="1"/>
      <c r="P1288" s="1"/>
      <c r="Q1288" s="3"/>
    </row>
    <row r="1289" spans="1:18" x14ac:dyDescent="0.25">
      <c r="B1289" s="1"/>
      <c r="C1289" s="1"/>
      <c r="D1289" s="1"/>
      <c r="E1289" s="1"/>
      <c r="F1289" s="1"/>
      <c r="G1289" s="1"/>
      <c r="H1289" s="3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8" x14ac:dyDescent="0.25">
      <c r="B1290" s="1"/>
      <c r="C1290" s="1"/>
      <c r="D1290" s="1"/>
      <c r="E1290" s="1"/>
      <c r="F1290" s="1"/>
      <c r="G1290" s="1"/>
      <c r="H1290" s="3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8" x14ac:dyDescent="0.25">
      <c r="B1291" s="1"/>
      <c r="C1291" s="1"/>
      <c r="D1291" s="1"/>
      <c r="E1291" s="1"/>
      <c r="F1291" s="1"/>
      <c r="G1291" s="1"/>
      <c r="H1291" s="3"/>
      <c r="K1291" s="1"/>
      <c r="L1291" s="1"/>
      <c r="M1291" s="1"/>
      <c r="N1291" s="1"/>
      <c r="O1291" s="1"/>
      <c r="P1291" s="1"/>
      <c r="Q1291" s="3"/>
    </row>
    <row r="1292" spans="1:18" x14ac:dyDescent="0.25">
      <c r="B1292" s="1"/>
      <c r="C1292" s="1"/>
      <c r="D1292" s="1"/>
      <c r="E1292" s="1"/>
      <c r="F1292" s="1"/>
      <c r="G1292" s="1"/>
      <c r="H1292" s="3"/>
      <c r="K1292" s="1"/>
      <c r="L1292" s="1"/>
      <c r="M1292" s="1"/>
      <c r="N1292" s="1"/>
      <c r="O1292" s="1"/>
      <c r="P1292" s="1"/>
      <c r="Q1292" s="3"/>
    </row>
    <row r="1293" spans="1:18" x14ac:dyDescent="0.25">
      <c r="B1293" s="1"/>
      <c r="C1293" s="1"/>
      <c r="D1293" s="1"/>
      <c r="E1293" s="1"/>
      <c r="F1293" s="1"/>
      <c r="G1293" s="1"/>
      <c r="H1293" s="3"/>
      <c r="K1293" s="1"/>
      <c r="L1293" s="1"/>
      <c r="M1293" s="1"/>
      <c r="N1293" s="1"/>
      <c r="O1293" s="1"/>
      <c r="P1293" s="1"/>
      <c r="Q1293" s="3"/>
    </row>
    <row r="1294" spans="1:18" x14ac:dyDescent="0.25">
      <c r="B1294" s="1"/>
      <c r="C1294" s="1"/>
      <c r="D1294" s="1"/>
      <c r="E1294" s="1"/>
      <c r="F1294" s="1"/>
      <c r="G1294" s="1"/>
      <c r="H1294" s="3"/>
      <c r="K1294" s="1"/>
      <c r="L1294" s="1"/>
      <c r="M1294" s="1"/>
      <c r="N1294" s="1"/>
      <c r="O1294" s="1"/>
      <c r="P1294" s="1"/>
      <c r="Q1294" s="3"/>
    </row>
    <row r="1295" spans="1:18" x14ac:dyDescent="0.25">
      <c r="B1295" s="1"/>
      <c r="C1295" s="1"/>
      <c r="D1295" s="1"/>
      <c r="E1295" s="1"/>
      <c r="F1295" s="1"/>
      <c r="G1295" s="1"/>
      <c r="H1295" s="3"/>
      <c r="K1295" s="1"/>
      <c r="L1295" s="1"/>
      <c r="M1295" s="1"/>
      <c r="N1295" s="1"/>
      <c r="O1295" s="1"/>
      <c r="P1295" s="1"/>
      <c r="Q1295" s="3"/>
    </row>
    <row r="1296" spans="1:18" x14ac:dyDescent="0.25">
      <c r="B1296" s="1"/>
      <c r="C1296" s="1"/>
      <c r="D1296" s="1"/>
      <c r="E1296" s="1"/>
      <c r="F1296" s="1"/>
      <c r="G1296" s="1"/>
      <c r="H1296" s="3"/>
      <c r="I1296" s="1"/>
      <c r="J1296" s="1"/>
      <c r="K1296" s="1"/>
      <c r="L1296" s="1"/>
      <c r="M1296" s="1"/>
      <c r="N1296" s="1"/>
      <c r="O1296" s="1"/>
      <c r="P1296" s="1"/>
      <c r="Q1296" s="3"/>
      <c r="R1296" s="1"/>
    </row>
    <row r="1297" spans="1:18" x14ac:dyDescent="0.25">
      <c r="B1297" s="1"/>
      <c r="C1297" s="1"/>
      <c r="D1297" s="1"/>
      <c r="E1297" s="1"/>
      <c r="F1297" s="1"/>
      <c r="G1297" s="1"/>
      <c r="H1297" s="3"/>
      <c r="I1297" s="1"/>
      <c r="J1297" s="1"/>
      <c r="K1297" s="1"/>
      <c r="L1297" s="1"/>
      <c r="M1297" s="1"/>
      <c r="N1297" s="1"/>
      <c r="O1297" s="1"/>
      <c r="P1297" s="1"/>
      <c r="Q1297" s="3"/>
      <c r="R1297" s="1"/>
    </row>
    <row r="1298" spans="1:18" x14ac:dyDescent="0.25">
      <c r="B1298" s="1"/>
      <c r="C1298" s="1"/>
      <c r="D1298" s="1"/>
      <c r="E1298" s="1"/>
      <c r="F1298" s="1"/>
      <c r="G1298" s="1"/>
      <c r="H1298" s="3"/>
      <c r="K1298" s="1"/>
      <c r="L1298" s="1"/>
      <c r="M1298" s="1"/>
      <c r="N1298" s="1"/>
      <c r="O1298" s="1"/>
      <c r="P1298" s="1"/>
      <c r="Q1298" s="3"/>
    </row>
    <row r="1299" spans="1:18" x14ac:dyDescent="0.25">
      <c r="B1299" s="1"/>
      <c r="C1299" s="1"/>
      <c r="D1299" s="1"/>
      <c r="E1299" s="1"/>
      <c r="F1299" s="1"/>
      <c r="G1299" s="1"/>
      <c r="H1299" s="3"/>
      <c r="K1299" s="1"/>
      <c r="L1299" s="1"/>
      <c r="M1299" s="1"/>
      <c r="N1299" s="1"/>
      <c r="O1299" s="1"/>
      <c r="P1299" s="1"/>
      <c r="Q1299" s="3"/>
    </row>
    <row r="1300" spans="1:18" x14ac:dyDescent="0.25">
      <c r="B1300" s="1"/>
      <c r="C1300" s="1"/>
      <c r="D1300" s="1"/>
      <c r="E1300" s="1"/>
      <c r="F1300" s="1"/>
      <c r="G1300" s="1"/>
      <c r="H1300" s="3"/>
      <c r="K1300" s="1"/>
      <c r="L1300" s="1"/>
      <c r="M1300" s="1"/>
      <c r="N1300" s="1"/>
      <c r="O1300" s="1"/>
      <c r="P1300" s="1"/>
      <c r="Q1300" s="3"/>
    </row>
    <row r="1301" spans="1:18" x14ac:dyDescent="0.25">
      <c r="B1301" s="1"/>
      <c r="C1301" s="1"/>
      <c r="D1301" s="1"/>
      <c r="E1301" s="1"/>
      <c r="F1301" s="1"/>
      <c r="G1301" s="1"/>
      <c r="H1301" s="3"/>
      <c r="K1301" s="1"/>
      <c r="L1301" s="1"/>
      <c r="M1301" s="1"/>
      <c r="N1301" s="1"/>
      <c r="O1301" s="1"/>
      <c r="P1301" s="1"/>
      <c r="Q1301" s="3"/>
    </row>
    <row r="1302" spans="1:18" x14ac:dyDescent="0.25">
      <c r="B1302" s="1"/>
      <c r="C1302" s="1"/>
      <c r="D1302" s="1"/>
      <c r="E1302" s="1"/>
      <c r="F1302" s="1"/>
      <c r="G1302" s="1"/>
      <c r="H1302" s="3"/>
      <c r="K1302" s="1"/>
      <c r="L1302" s="1"/>
      <c r="M1302" s="1"/>
      <c r="N1302" s="1"/>
      <c r="O1302" s="1"/>
      <c r="P1302" s="1"/>
      <c r="Q1302" s="3"/>
    </row>
    <row r="1303" spans="1:18" x14ac:dyDescent="0.25">
      <c r="B1303" s="1"/>
      <c r="C1303" s="1"/>
      <c r="D1303" s="1"/>
      <c r="E1303" s="1"/>
      <c r="F1303" s="1"/>
      <c r="G1303" s="8"/>
      <c r="H1303" s="9"/>
      <c r="K1303" s="1"/>
      <c r="L1303" s="1"/>
      <c r="M1303" s="1"/>
      <c r="N1303" s="1"/>
      <c r="O1303" s="1"/>
      <c r="P1303" s="1"/>
      <c r="Q1303" s="3"/>
    </row>
    <row r="1304" spans="1:18" x14ac:dyDescent="0.25">
      <c r="B1304" s="1"/>
      <c r="C1304" s="1"/>
      <c r="D1304" s="1"/>
      <c r="E1304" s="1"/>
      <c r="F1304" s="1"/>
      <c r="G1304" s="1"/>
      <c r="H1304" s="3"/>
      <c r="K1304" s="1"/>
      <c r="L1304" s="1"/>
      <c r="M1304" s="1"/>
      <c r="N1304" s="1"/>
      <c r="O1304" s="1"/>
      <c r="P1304" s="1"/>
      <c r="Q1304" s="3"/>
    </row>
    <row r="1305" spans="1:18" x14ac:dyDescent="0.25">
      <c r="B1305" s="1"/>
      <c r="C1305" s="1"/>
      <c r="D1305" s="1"/>
      <c r="E1305" s="1"/>
      <c r="F1305" s="1"/>
      <c r="G1305" s="1"/>
      <c r="H1305" s="3"/>
      <c r="K1305" s="1"/>
      <c r="L1305" s="1"/>
      <c r="M1305" s="1"/>
      <c r="N1305" s="1"/>
      <c r="O1305" s="1"/>
      <c r="P1305" s="1"/>
      <c r="Q1305" s="3"/>
    </row>
    <row r="1306" spans="1:18" x14ac:dyDescent="0.25">
      <c r="B1306" s="1"/>
      <c r="C1306" s="1"/>
      <c r="D1306" s="1"/>
      <c r="E1306" s="1"/>
      <c r="F1306" s="1"/>
      <c r="G1306" s="1"/>
      <c r="H1306" s="3"/>
      <c r="K1306" s="1"/>
      <c r="L1306" s="1"/>
      <c r="M1306" s="1"/>
      <c r="N1306" s="1"/>
      <c r="O1306" s="1"/>
      <c r="P1306" s="1"/>
      <c r="Q1306" s="3"/>
    </row>
    <row r="1307" spans="1:18" x14ac:dyDescent="0.25">
      <c r="B1307" s="1"/>
      <c r="C1307" s="1"/>
      <c r="D1307" s="1"/>
      <c r="E1307" s="1"/>
      <c r="F1307" s="1"/>
      <c r="G1307" s="1"/>
      <c r="H1307" s="3"/>
      <c r="K1307" s="1"/>
      <c r="L1307" s="1"/>
      <c r="M1307" s="1"/>
      <c r="N1307" s="1"/>
      <c r="O1307" s="1"/>
      <c r="P1307" s="1"/>
      <c r="Q1307" s="3"/>
    </row>
    <row r="1308" spans="1:18" x14ac:dyDescent="0.25">
      <c r="B1308" s="1"/>
      <c r="C1308" s="1"/>
      <c r="D1308" s="1"/>
      <c r="E1308" s="1"/>
      <c r="F1308" s="1"/>
      <c r="G1308" s="1"/>
      <c r="H1308" s="3"/>
      <c r="K1308" s="1"/>
      <c r="L1308" s="1"/>
      <c r="M1308" s="1"/>
      <c r="N1308" s="1"/>
      <c r="O1308" s="1"/>
      <c r="P1308" s="1"/>
      <c r="Q1308" s="3"/>
    </row>
    <row r="1309" spans="1:18" x14ac:dyDescent="0.25">
      <c r="B1309" s="1"/>
      <c r="C1309" s="1"/>
      <c r="D1309" s="1"/>
      <c r="E1309" s="1"/>
      <c r="F1309" s="1"/>
      <c r="G1309" s="1"/>
      <c r="H1309" s="3"/>
      <c r="K1309" s="1"/>
      <c r="L1309" s="1"/>
      <c r="M1309" s="1"/>
      <c r="N1309" s="1"/>
      <c r="O1309" s="1"/>
      <c r="P1309" s="1"/>
      <c r="Q1309" s="3"/>
    </row>
    <row r="1310" spans="1:18" x14ac:dyDescent="0.25">
      <c r="A1310" s="7"/>
      <c r="B1310" s="1"/>
      <c r="C1310" s="1"/>
      <c r="D1310" s="1"/>
      <c r="E1310" s="1"/>
      <c r="F1310" s="1"/>
      <c r="G1310" s="1"/>
      <c r="H1310" s="3"/>
      <c r="K1310" s="10"/>
      <c r="L1310" s="10"/>
      <c r="M1310" s="10"/>
      <c r="N1310" s="10"/>
      <c r="O1310" s="10"/>
      <c r="P1310" s="1"/>
      <c r="Q1310" s="3"/>
    </row>
    <row r="1311" spans="1:18" x14ac:dyDescent="0.25">
      <c r="B1311" s="1"/>
      <c r="C1311" s="1"/>
      <c r="D1311" s="1"/>
      <c r="E1311" s="1"/>
      <c r="F1311" s="1"/>
      <c r="G1311" s="1"/>
      <c r="H1311" s="3"/>
      <c r="K1311" s="1"/>
      <c r="L1311" s="1"/>
      <c r="M1311" s="1"/>
      <c r="N1311" s="1"/>
      <c r="O1311" s="1"/>
      <c r="P1311" s="1"/>
      <c r="Q1311" s="3"/>
    </row>
    <row r="1312" spans="1:18" x14ac:dyDescent="0.25">
      <c r="B1312" s="1"/>
      <c r="C1312" s="1"/>
      <c r="D1312" s="1"/>
      <c r="E1312" s="1"/>
      <c r="F1312" s="1"/>
      <c r="G1312" s="1"/>
      <c r="H1312" s="3"/>
      <c r="K1312" s="1"/>
      <c r="L1312" s="1"/>
      <c r="M1312" s="1"/>
      <c r="N1312" s="1"/>
      <c r="O1312" s="1"/>
      <c r="P1312" s="1"/>
      <c r="Q1312" s="3"/>
    </row>
    <row r="1313" spans="1:17" x14ac:dyDescent="0.25">
      <c r="B1313" s="1"/>
      <c r="C1313" s="1"/>
      <c r="D1313" s="1"/>
      <c r="E1313" s="1"/>
      <c r="F1313" s="1"/>
      <c r="G1313" s="1"/>
      <c r="H1313" s="3"/>
      <c r="K1313" s="1"/>
      <c r="L1313" s="1"/>
      <c r="M1313" s="1"/>
      <c r="N1313" s="1"/>
      <c r="O1313" s="1"/>
      <c r="P1313" s="1"/>
      <c r="Q1313" s="3"/>
    </row>
    <row r="1314" spans="1:17" x14ac:dyDescent="0.25">
      <c r="B1314" s="1"/>
      <c r="C1314" s="1"/>
      <c r="D1314" s="1"/>
      <c r="E1314" s="1"/>
      <c r="F1314" s="1"/>
      <c r="G1314" s="1"/>
      <c r="H1314" s="3"/>
      <c r="K1314" s="1"/>
      <c r="L1314" s="1"/>
      <c r="M1314" s="1"/>
      <c r="N1314" s="1"/>
      <c r="O1314" s="1"/>
      <c r="P1314" s="1"/>
      <c r="Q1314" s="3"/>
    </row>
    <row r="1315" spans="1:17" x14ac:dyDescent="0.25">
      <c r="B1315" s="1"/>
      <c r="C1315" s="1"/>
      <c r="D1315" s="1"/>
      <c r="E1315" s="1"/>
      <c r="F1315" s="1"/>
      <c r="G1315" s="1"/>
      <c r="H1315" s="3"/>
      <c r="I1315" s="1"/>
      <c r="J1315" s="1"/>
      <c r="K1315" s="1"/>
      <c r="L1315" s="1"/>
      <c r="M1315" s="1"/>
      <c r="N1315" s="1"/>
      <c r="O1315" s="1"/>
      <c r="P1315" s="1"/>
      <c r="Q1315" s="3"/>
    </row>
    <row r="1316" spans="1:17" x14ac:dyDescent="0.25">
      <c r="B1316" s="1"/>
      <c r="C1316" s="1"/>
      <c r="D1316" s="1"/>
      <c r="E1316" s="1"/>
      <c r="F1316" s="1"/>
      <c r="G1316" s="1"/>
      <c r="H1316" s="3"/>
      <c r="K1316" s="1"/>
      <c r="L1316" s="1"/>
      <c r="M1316" s="1"/>
      <c r="N1316" s="1"/>
      <c r="O1316" s="1"/>
      <c r="P1316" s="1"/>
      <c r="Q1316" s="3"/>
    </row>
    <row r="1317" spans="1:17" x14ac:dyDescent="0.25">
      <c r="B1317" s="1"/>
      <c r="C1317" s="1"/>
      <c r="D1317" s="1"/>
      <c r="E1317" s="1"/>
      <c r="F1317" s="1"/>
      <c r="G1317" s="1"/>
      <c r="H1317" s="3"/>
      <c r="K1317" s="1"/>
      <c r="L1317" s="1"/>
      <c r="M1317" s="1"/>
      <c r="N1317" s="1"/>
      <c r="O1317" s="1"/>
      <c r="P1317" s="1"/>
      <c r="Q1317" s="3"/>
    </row>
    <row r="1318" spans="1:17" x14ac:dyDescent="0.25">
      <c r="B1318" s="1"/>
      <c r="C1318" s="1"/>
      <c r="D1318" s="1"/>
      <c r="E1318" s="1"/>
      <c r="F1318" s="1"/>
      <c r="G1318" s="1"/>
      <c r="H1318" s="3"/>
      <c r="K1318" s="1"/>
      <c r="L1318" s="1"/>
      <c r="M1318" s="1"/>
      <c r="N1318" s="1"/>
      <c r="O1318" s="1"/>
      <c r="P1318" s="1"/>
      <c r="Q1318" s="3"/>
    </row>
    <row r="1319" spans="1:17" x14ac:dyDescent="0.25">
      <c r="B1319" s="1"/>
      <c r="C1319" s="1"/>
      <c r="D1319" s="1"/>
      <c r="E1319" s="1"/>
      <c r="F1319" s="1"/>
      <c r="G1319" s="1"/>
      <c r="H1319" s="3"/>
      <c r="K1319" s="1"/>
      <c r="L1319" s="1"/>
      <c r="M1319" s="1"/>
      <c r="N1319" s="1"/>
      <c r="O1319" s="1"/>
      <c r="P1319" s="1"/>
      <c r="Q1319" s="3"/>
    </row>
    <row r="1320" spans="1:17" x14ac:dyDescent="0.25">
      <c r="B1320" s="1"/>
      <c r="C1320" s="1"/>
      <c r="D1320" s="1"/>
      <c r="E1320" s="1"/>
      <c r="F1320" s="1"/>
      <c r="G1320" s="1"/>
      <c r="H1320" s="3"/>
      <c r="K1320" s="1"/>
      <c r="L1320" s="1"/>
      <c r="M1320" s="1"/>
      <c r="N1320" s="1"/>
      <c r="O1320" s="1"/>
      <c r="P1320" s="1"/>
      <c r="Q1320" s="3"/>
    </row>
    <row r="1321" spans="1:17" x14ac:dyDescent="0.25">
      <c r="K1321" s="1"/>
      <c r="L1321" s="1"/>
      <c r="M1321" s="1"/>
      <c r="N1321" s="1"/>
      <c r="O1321" s="1"/>
      <c r="P1321" s="1"/>
      <c r="Q1321" s="3"/>
    </row>
    <row r="1322" spans="1:17" x14ac:dyDescent="0.25">
      <c r="B1322" s="1"/>
      <c r="C1322" s="1"/>
      <c r="D1322" s="1"/>
      <c r="E1322" s="1"/>
      <c r="F1322" s="1"/>
      <c r="G1322" s="1"/>
      <c r="H1322" s="3"/>
      <c r="K1322" s="1"/>
      <c r="L1322" s="1"/>
      <c r="M1322" s="1"/>
      <c r="N1322" s="1"/>
      <c r="O1322" s="1"/>
      <c r="P1322" s="1"/>
      <c r="Q1322" s="3"/>
    </row>
    <row r="1323" spans="1:17" x14ac:dyDescent="0.25">
      <c r="A1323" s="7"/>
      <c r="B1323" s="1"/>
      <c r="C1323" s="1"/>
      <c r="D1323" s="1"/>
      <c r="E1323" s="1"/>
      <c r="F1323" s="1"/>
      <c r="G1323" s="1"/>
      <c r="H1323" s="3"/>
      <c r="K1323" s="10"/>
      <c r="L1323" s="10"/>
      <c r="M1323" s="10"/>
      <c r="N1323" s="10"/>
      <c r="O1323" s="10"/>
      <c r="P1323" s="1"/>
      <c r="Q1323" s="3"/>
    </row>
    <row r="1324" spans="1:17" x14ac:dyDescent="0.25">
      <c r="K1324" s="1"/>
      <c r="L1324" s="1"/>
      <c r="M1324" s="1"/>
      <c r="N1324" s="1"/>
      <c r="O1324" s="1"/>
      <c r="P1324" s="1"/>
      <c r="Q1324" s="3"/>
    </row>
    <row r="1325" spans="1:17" x14ac:dyDescent="0.25">
      <c r="B1325" s="1"/>
      <c r="C1325" s="1"/>
      <c r="D1325" s="1"/>
      <c r="E1325" s="1"/>
      <c r="F1325" s="1"/>
      <c r="G1325" s="1"/>
      <c r="H1325" s="3"/>
      <c r="K1325" s="1"/>
      <c r="L1325" s="1"/>
      <c r="M1325" s="1"/>
      <c r="N1325" s="1"/>
      <c r="O1325" s="1"/>
      <c r="P1325" s="1"/>
      <c r="Q1325" s="3"/>
    </row>
    <row r="1326" spans="1:17" x14ac:dyDescent="0.25">
      <c r="B1326" s="1"/>
      <c r="C1326" s="1"/>
      <c r="D1326" s="1"/>
      <c r="E1326" s="1"/>
      <c r="F1326" s="1"/>
      <c r="G1326" s="1"/>
      <c r="H1326" s="3"/>
      <c r="I1326" s="1"/>
      <c r="J1326" s="1"/>
      <c r="K1326" s="1"/>
      <c r="L1326" s="1"/>
      <c r="M1326" s="1"/>
      <c r="N1326" s="1"/>
      <c r="O1326" s="1"/>
      <c r="P1326" s="1"/>
      <c r="Q1326" s="3"/>
    </row>
    <row r="1327" spans="1:17" x14ac:dyDescent="0.25">
      <c r="B1327" s="1"/>
      <c r="C1327" s="1"/>
      <c r="D1327" s="1"/>
      <c r="E1327" s="1"/>
      <c r="F1327" s="1"/>
      <c r="G1327" s="1"/>
      <c r="H1327" s="3"/>
      <c r="I1327" s="1"/>
      <c r="J1327" s="1"/>
      <c r="K1327" s="1"/>
      <c r="L1327" s="1"/>
      <c r="M1327" s="1"/>
      <c r="N1327" s="1"/>
      <c r="O1327" s="1"/>
      <c r="P1327" s="1"/>
      <c r="Q1327" s="3"/>
    </row>
    <row r="1328" spans="1:17" x14ac:dyDescent="0.25">
      <c r="A1328" s="7"/>
      <c r="B1328" s="1"/>
      <c r="C1328" s="1"/>
      <c r="D1328" s="1"/>
      <c r="E1328" s="1"/>
      <c r="F1328" s="1"/>
      <c r="G1328" s="1"/>
      <c r="H1328" s="3"/>
      <c r="K1328" s="10"/>
      <c r="L1328" s="10"/>
      <c r="M1328" s="10"/>
      <c r="N1328" s="10"/>
      <c r="O1328" s="10"/>
      <c r="P1328" s="1"/>
      <c r="Q1328" s="3"/>
    </row>
    <row r="1329" spans="1:18" x14ac:dyDescent="0.25">
      <c r="K1329" s="1"/>
      <c r="L1329" s="1"/>
      <c r="M1329" s="1"/>
      <c r="N1329" s="1"/>
      <c r="O1329" s="1"/>
      <c r="P1329" s="1"/>
      <c r="Q1329" s="3"/>
    </row>
    <row r="1330" spans="1:18" x14ac:dyDescent="0.25">
      <c r="B1330" s="1"/>
      <c r="C1330" s="1"/>
      <c r="D1330" s="1"/>
      <c r="E1330" s="1"/>
      <c r="F1330" s="1"/>
      <c r="G1330" s="1"/>
      <c r="H1330" s="3"/>
      <c r="K1330" s="1"/>
      <c r="L1330" s="1"/>
      <c r="M1330" s="1"/>
      <c r="N1330" s="1"/>
      <c r="O1330" s="1"/>
      <c r="P1330" s="1"/>
      <c r="Q1330" s="3"/>
    </row>
    <row r="1331" spans="1:18" x14ac:dyDescent="0.25">
      <c r="B1331" s="1"/>
      <c r="C1331" s="1"/>
      <c r="D1331" s="1"/>
      <c r="E1331" s="1"/>
      <c r="F1331" s="1"/>
      <c r="G1331" s="1"/>
      <c r="H1331" s="3"/>
      <c r="K1331" s="1"/>
      <c r="L1331" s="1"/>
      <c r="M1331" s="1"/>
      <c r="N1331" s="1"/>
      <c r="O1331" s="1"/>
      <c r="P1331" s="1"/>
      <c r="Q1331" s="3"/>
    </row>
    <row r="1332" spans="1:18" x14ac:dyDescent="0.25">
      <c r="B1332" s="1"/>
      <c r="C1332" s="1"/>
      <c r="D1332" s="1"/>
      <c r="E1332" s="1"/>
      <c r="F1332" s="1"/>
      <c r="G1332" s="1"/>
      <c r="H1332" s="3"/>
      <c r="K1332" s="1"/>
      <c r="L1332" s="1"/>
      <c r="M1332" s="1"/>
      <c r="N1332" s="1"/>
      <c r="O1332" s="1"/>
      <c r="P1332" s="1"/>
      <c r="Q1332" s="3"/>
    </row>
    <row r="1333" spans="1:18" x14ac:dyDescent="0.25">
      <c r="B1333" s="1"/>
      <c r="C1333" s="1"/>
      <c r="D1333" s="1"/>
      <c r="E1333" s="1"/>
      <c r="F1333" s="1"/>
      <c r="G1333" s="1"/>
      <c r="H1333" s="3"/>
      <c r="I1333" s="1"/>
      <c r="J1333" s="1"/>
      <c r="K1333" s="1"/>
      <c r="L1333" s="1"/>
      <c r="M1333" s="1"/>
      <c r="N1333" s="1"/>
      <c r="O1333" s="1"/>
      <c r="P1333" s="1"/>
      <c r="Q1333" s="3"/>
      <c r="R1333" s="1"/>
    </row>
    <row r="1334" spans="1:18" x14ac:dyDescent="0.25">
      <c r="B1334" s="1"/>
      <c r="C1334" s="1"/>
      <c r="D1334" s="1"/>
      <c r="E1334" s="1"/>
      <c r="F1334" s="1"/>
      <c r="G1334" s="1"/>
      <c r="H1334" s="3"/>
      <c r="K1334" s="1"/>
      <c r="L1334" s="1"/>
      <c r="M1334" s="1"/>
      <c r="N1334" s="1"/>
      <c r="O1334" s="1"/>
      <c r="P1334" s="1"/>
      <c r="Q1334" s="3"/>
    </row>
    <row r="1335" spans="1:18" x14ac:dyDescent="0.25">
      <c r="B1335" s="1"/>
      <c r="C1335" s="1"/>
      <c r="D1335" s="1"/>
      <c r="E1335" s="1"/>
      <c r="F1335" s="1"/>
      <c r="G1335" s="1"/>
      <c r="H1335" s="3"/>
      <c r="K1335" s="1"/>
      <c r="L1335" s="1"/>
      <c r="M1335" s="1"/>
      <c r="N1335" s="1"/>
      <c r="O1335" s="1"/>
      <c r="P1335" s="1"/>
      <c r="Q1335" s="3"/>
    </row>
    <row r="1336" spans="1:18" x14ac:dyDescent="0.25">
      <c r="B1336" s="1"/>
      <c r="C1336" s="1"/>
      <c r="D1336" s="1"/>
      <c r="E1336" s="1"/>
      <c r="F1336" s="1"/>
      <c r="G1336" s="1"/>
      <c r="H1336" s="3"/>
      <c r="K1336" s="1"/>
      <c r="L1336" s="1"/>
      <c r="M1336" s="1"/>
      <c r="N1336" s="1"/>
      <c r="O1336" s="1"/>
      <c r="P1336" s="1"/>
      <c r="Q1336" s="3"/>
    </row>
    <row r="1337" spans="1:18" x14ac:dyDescent="0.25">
      <c r="B1337" s="1"/>
      <c r="C1337" s="1"/>
      <c r="D1337" s="1"/>
      <c r="E1337" s="1"/>
      <c r="F1337" s="1"/>
      <c r="G1337" s="1"/>
      <c r="H1337" s="3"/>
      <c r="K1337" s="1"/>
      <c r="L1337" s="1"/>
      <c r="M1337" s="1"/>
      <c r="N1337" s="1"/>
      <c r="O1337" s="1"/>
      <c r="P1337" s="1"/>
      <c r="Q1337" s="3"/>
    </row>
    <row r="1338" spans="1:18" x14ac:dyDescent="0.25">
      <c r="B1338" s="1"/>
      <c r="C1338" s="1"/>
      <c r="D1338" s="1"/>
      <c r="E1338" s="1"/>
      <c r="F1338" s="1"/>
      <c r="G1338" s="1"/>
      <c r="H1338" s="3"/>
      <c r="K1338" s="1"/>
      <c r="L1338" s="1"/>
      <c r="M1338" s="1"/>
      <c r="N1338" s="1"/>
      <c r="O1338" s="1"/>
      <c r="P1338" s="1"/>
      <c r="Q1338" s="3"/>
    </row>
    <row r="1339" spans="1:18" x14ac:dyDescent="0.25">
      <c r="B1339" s="1"/>
      <c r="C1339" s="1"/>
      <c r="D1339" s="1"/>
      <c r="E1339" s="1"/>
      <c r="F1339" s="1"/>
      <c r="G1339" s="1"/>
      <c r="H1339" s="3"/>
      <c r="K1339" s="1"/>
      <c r="L1339" s="1"/>
      <c r="M1339" s="1"/>
      <c r="N1339" s="1"/>
      <c r="O1339" s="1"/>
      <c r="P1339" s="1"/>
      <c r="Q1339" s="3"/>
    </row>
    <row r="1340" spans="1:18" x14ac:dyDescent="0.25">
      <c r="B1340" s="1"/>
      <c r="C1340" s="1"/>
      <c r="D1340" s="1"/>
      <c r="E1340" s="1"/>
      <c r="F1340" s="1"/>
      <c r="G1340" s="1"/>
      <c r="H1340" s="3"/>
      <c r="K1340" s="1"/>
      <c r="L1340" s="1"/>
      <c r="M1340" s="1"/>
      <c r="N1340" s="1"/>
      <c r="O1340" s="1"/>
      <c r="P1340" s="1"/>
      <c r="Q1340" s="3"/>
    </row>
    <row r="1341" spans="1:18" x14ac:dyDescent="0.25">
      <c r="B1341" s="1"/>
      <c r="C1341" s="1"/>
      <c r="D1341" s="1"/>
      <c r="E1341" s="1"/>
      <c r="F1341" s="1"/>
      <c r="G1341" s="1"/>
      <c r="H1341" s="3"/>
      <c r="K1341" s="1"/>
      <c r="L1341" s="1"/>
      <c r="M1341" s="1"/>
      <c r="N1341" s="1"/>
      <c r="O1341" s="1"/>
      <c r="P1341" s="1"/>
      <c r="Q1341" s="3"/>
    </row>
    <row r="1342" spans="1:18" x14ac:dyDescent="0.25">
      <c r="A1342" s="7"/>
      <c r="B1342" s="1"/>
      <c r="C1342" s="1"/>
      <c r="D1342" s="1"/>
      <c r="E1342" s="1"/>
      <c r="F1342" s="1"/>
      <c r="G1342" s="1"/>
      <c r="H1342" s="3"/>
      <c r="K1342" s="10"/>
      <c r="L1342" s="10"/>
      <c r="M1342" s="10"/>
      <c r="N1342" s="10"/>
      <c r="O1342" s="10"/>
      <c r="P1342" s="1"/>
      <c r="Q1342" s="3"/>
    </row>
    <row r="1343" spans="1:18" x14ac:dyDescent="0.25">
      <c r="B1343" s="1"/>
      <c r="C1343" s="1"/>
      <c r="D1343" s="1"/>
      <c r="E1343" s="1"/>
      <c r="F1343" s="1"/>
      <c r="G1343" s="1"/>
      <c r="H1343" s="3"/>
      <c r="K1343" s="1"/>
      <c r="L1343" s="1"/>
      <c r="M1343" s="1"/>
      <c r="N1343" s="1"/>
      <c r="O1343" s="1"/>
      <c r="P1343" s="1"/>
      <c r="Q1343" s="3"/>
    </row>
    <row r="1344" spans="1:18" x14ac:dyDescent="0.25">
      <c r="B1344" s="1"/>
      <c r="C1344" s="1"/>
      <c r="D1344" s="1"/>
      <c r="E1344" s="1"/>
      <c r="F1344" s="1"/>
      <c r="G1344" s="1"/>
      <c r="H1344" s="3"/>
      <c r="I1344" s="1"/>
      <c r="J1344" s="1"/>
      <c r="K1344" s="1"/>
      <c r="L1344" s="1"/>
      <c r="M1344" s="1"/>
      <c r="N1344" s="1"/>
      <c r="O1344" s="1"/>
      <c r="P1344" s="1"/>
      <c r="Q1344" s="3"/>
    </row>
    <row r="1345" spans="1:18" x14ac:dyDescent="0.25">
      <c r="B1345" s="1"/>
      <c r="C1345" s="1"/>
      <c r="D1345" s="1"/>
      <c r="E1345" s="1"/>
      <c r="F1345" s="1"/>
      <c r="G1345" s="1"/>
      <c r="H1345" s="3"/>
      <c r="K1345" s="1"/>
      <c r="L1345" s="1"/>
      <c r="M1345" s="1"/>
      <c r="N1345" s="1"/>
      <c r="O1345" s="1"/>
      <c r="P1345" s="1"/>
      <c r="Q1345" s="3"/>
    </row>
    <row r="1346" spans="1:18" x14ac:dyDescent="0.25">
      <c r="B1346" s="1"/>
      <c r="C1346" s="1"/>
      <c r="D1346" s="1"/>
      <c r="E1346" s="1"/>
      <c r="F1346" s="1"/>
      <c r="G1346" s="1"/>
      <c r="H1346" s="3"/>
      <c r="I1346" s="1"/>
      <c r="J1346" s="1"/>
      <c r="K1346" s="1"/>
      <c r="L1346" s="1"/>
      <c r="M1346" s="1"/>
      <c r="N1346" s="1"/>
      <c r="O1346" s="1"/>
      <c r="P1346" s="1"/>
      <c r="Q1346" s="3"/>
    </row>
    <row r="1347" spans="1:18" x14ac:dyDescent="0.25">
      <c r="K1347" s="1"/>
      <c r="L1347" s="1"/>
      <c r="M1347" s="1"/>
      <c r="N1347" s="1"/>
      <c r="O1347" s="1"/>
      <c r="P1347" s="1"/>
      <c r="Q1347" s="3"/>
    </row>
    <row r="1348" spans="1:18" x14ac:dyDescent="0.25">
      <c r="B1348" s="1"/>
      <c r="C1348" s="1"/>
      <c r="D1348" s="1"/>
      <c r="E1348" s="1"/>
      <c r="F1348" s="1"/>
      <c r="G1348" s="1"/>
      <c r="H1348" s="3"/>
      <c r="K1348" s="1"/>
      <c r="L1348" s="1"/>
      <c r="M1348" s="1"/>
      <c r="N1348" s="1"/>
      <c r="O1348" s="1"/>
      <c r="P1348" s="1"/>
      <c r="Q1348" s="3"/>
    </row>
    <row r="1349" spans="1:18" x14ac:dyDescent="0.25">
      <c r="B1349" s="1"/>
      <c r="C1349" s="1"/>
      <c r="D1349" s="1"/>
      <c r="E1349" s="1"/>
      <c r="F1349" s="1"/>
      <c r="G1349" s="1"/>
      <c r="H1349" s="3"/>
      <c r="K1349" s="1"/>
      <c r="L1349" s="1"/>
      <c r="M1349" s="1"/>
      <c r="N1349" s="1"/>
      <c r="O1349" s="1"/>
      <c r="P1349" s="1"/>
      <c r="Q1349" s="3"/>
    </row>
    <row r="1350" spans="1:18" x14ac:dyDescent="0.25">
      <c r="B1350" s="1"/>
      <c r="C1350" s="1"/>
      <c r="D1350" s="1"/>
      <c r="E1350" s="1"/>
      <c r="F1350" s="1"/>
      <c r="G1350" s="1"/>
      <c r="H1350" s="3"/>
      <c r="K1350" s="1"/>
      <c r="L1350" s="1"/>
      <c r="M1350" s="1"/>
      <c r="N1350" s="1"/>
      <c r="O1350" s="1"/>
      <c r="P1350" s="1"/>
      <c r="Q1350" s="3"/>
    </row>
    <row r="1351" spans="1:18" x14ac:dyDescent="0.25">
      <c r="K1351" s="1"/>
      <c r="L1351" s="1"/>
      <c r="M1351" s="1"/>
      <c r="N1351" s="1"/>
      <c r="O1351" s="1"/>
      <c r="P1351" s="1"/>
      <c r="Q1351" s="3"/>
    </row>
    <row r="1352" spans="1:18" x14ac:dyDescent="0.25">
      <c r="A1352" s="7"/>
      <c r="B1352" s="1"/>
      <c r="C1352" s="1"/>
      <c r="D1352" s="1"/>
      <c r="E1352" s="1"/>
      <c r="F1352" s="1"/>
      <c r="G1352" s="1"/>
      <c r="H1352" s="3"/>
      <c r="K1352" s="10"/>
      <c r="L1352" s="10"/>
      <c r="M1352" s="10"/>
      <c r="N1352" s="10"/>
      <c r="O1352" s="10"/>
      <c r="P1352" s="1"/>
      <c r="Q1352" s="3"/>
    </row>
    <row r="1353" spans="1:18" x14ac:dyDescent="0.25">
      <c r="B1353" s="1"/>
      <c r="C1353" s="1"/>
      <c r="D1353" s="1"/>
      <c r="E1353" s="1"/>
      <c r="F1353" s="1"/>
      <c r="G1353" s="1"/>
      <c r="H1353" s="3"/>
      <c r="I1353" s="1"/>
      <c r="J1353" s="1"/>
      <c r="K1353" s="1"/>
      <c r="L1353" s="1"/>
      <c r="M1353" s="1"/>
      <c r="N1353" s="1"/>
      <c r="O1353" s="1"/>
      <c r="P1353" s="1"/>
      <c r="Q1353" s="3"/>
    </row>
    <row r="1354" spans="1:18" x14ac:dyDescent="0.25">
      <c r="B1354" s="1"/>
      <c r="C1354" s="1"/>
      <c r="D1354" s="1"/>
      <c r="E1354" s="1"/>
      <c r="F1354" s="1"/>
      <c r="G1354" s="1"/>
      <c r="H1354" s="3"/>
      <c r="K1354" s="1"/>
      <c r="L1354" s="1"/>
      <c r="M1354" s="1"/>
      <c r="N1354" s="1"/>
      <c r="O1354" s="1"/>
      <c r="P1354" s="1"/>
      <c r="Q1354" s="3"/>
    </row>
    <row r="1355" spans="1:18" x14ac:dyDescent="0.25">
      <c r="B1355" s="1"/>
      <c r="C1355" s="1"/>
      <c r="D1355" s="1"/>
      <c r="E1355" s="1"/>
      <c r="F1355" s="1"/>
      <c r="G1355" s="1"/>
      <c r="H1355" s="3"/>
      <c r="K1355" s="1"/>
      <c r="L1355" s="1"/>
      <c r="M1355" s="1"/>
      <c r="N1355" s="1"/>
      <c r="O1355" s="1"/>
      <c r="P1355" s="1"/>
      <c r="Q1355" s="3"/>
    </row>
    <row r="1356" spans="1:18" x14ac:dyDescent="0.25">
      <c r="B1356" s="1"/>
      <c r="C1356" s="1"/>
      <c r="D1356" s="1"/>
      <c r="E1356" s="1"/>
      <c r="F1356" s="1"/>
      <c r="G1356" s="1"/>
      <c r="H1356" s="3"/>
      <c r="I1356" s="1"/>
      <c r="J1356" s="1"/>
      <c r="K1356" s="1"/>
      <c r="L1356" s="1"/>
      <c r="M1356" s="1"/>
      <c r="N1356" s="1"/>
      <c r="O1356" s="1"/>
      <c r="P1356" s="1"/>
      <c r="Q1356" s="3"/>
      <c r="R1356" s="1"/>
    </row>
    <row r="1357" spans="1:18" x14ac:dyDescent="0.25">
      <c r="B1357" s="1"/>
      <c r="C1357" s="1"/>
      <c r="D1357" s="1"/>
      <c r="E1357" s="1"/>
      <c r="F1357" s="1"/>
      <c r="G1357" s="1"/>
      <c r="H1357" s="3"/>
      <c r="I1357" s="1"/>
      <c r="J1357" s="1"/>
      <c r="K1357" s="1"/>
      <c r="L1357" s="1"/>
      <c r="M1357" s="1"/>
      <c r="N1357" s="1"/>
      <c r="O1357" s="1"/>
      <c r="P1357" s="1"/>
      <c r="Q1357" s="3"/>
    </row>
    <row r="1358" spans="1:18" x14ac:dyDescent="0.25">
      <c r="B1358" s="1"/>
      <c r="C1358" s="1"/>
      <c r="D1358" s="1"/>
      <c r="E1358" s="1"/>
      <c r="F1358" s="1"/>
      <c r="G1358" s="1"/>
      <c r="H1358" s="3"/>
      <c r="K1358" s="1"/>
      <c r="L1358" s="1"/>
      <c r="M1358" s="1"/>
      <c r="N1358" s="1"/>
      <c r="O1358" s="1"/>
      <c r="P1358" s="1"/>
      <c r="Q1358" s="3"/>
    </row>
    <row r="1359" spans="1:18" x14ac:dyDescent="0.25">
      <c r="B1359" s="1"/>
      <c r="C1359" s="1"/>
      <c r="D1359" s="1"/>
      <c r="E1359" s="1"/>
      <c r="F1359" s="1"/>
      <c r="G1359" s="1"/>
      <c r="H1359" s="3"/>
      <c r="K1359" s="1"/>
      <c r="L1359" s="1"/>
      <c r="M1359" s="1"/>
      <c r="N1359" s="1"/>
      <c r="O1359" s="1"/>
      <c r="P1359" s="1"/>
      <c r="Q1359" s="3"/>
    </row>
    <row r="1360" spans="1:18" x14ac:dyDescent="0.25">
      <c r="B1360" s="1"/>
      <c r="C1360" s="1"/>
      <c r="D1360" s="1"/>
      <c r="E1360" s="1"/>
      <c r="F1360" s="1"/>
      <c r="G1360" s="1"/>
      <c r="H1360" s="3"/>
      <c r="K1360" s="1"/>
      <c r="L1360" s="1"/>
      <c r="M1360" s="1"/>
      <c r="N1360" s="1"/>
      <c r="O1360" s="1"/>
      <c r="P1360" s="1"/>
      <c r="Q1360" s="3"/>
    </row>
    <row r="1361" spans="1:18" x14ac:dyDescent="0.25">
      <c r="B1361" s="1"/>
      <c r="C1361" s="1"/>
      <c r="D1361" s="1"/>
      <c r="E1361" s="1"/>
      <c r="F1361" s="1"/>
      <c r="G1361" s="1"/>
      <c r="H1361" s="3"/>
      <c r="I1361" s="1"/>
      <c r="J1361" s="1"/>
      <c r="K1361" s="1"/>
      <c r="L1361" s="1"/>
      <c r="M1361" s="1"/>
      <c r="N1361" s="1"/>
      <c r="O1361" s="1"/>
      <c r="P1361" s="1"/>
      <c r="Q1361" s="3"/>
    </row>
    <row r="1362" spans="1:18" x14ac:dyDescent="0.25">
      <c r="B1362" s="1"/>
      <c r="C1362" s="1"/>
      <c r="D1362" s="1"/>
      <c r="E1362" s="1"/>
      <c r="F1362" s="1"/>
      <c r="G1362" s="1"/>
      <c r="H1362" s="3"/>
      <c r="I1362" s="1"/>
      <c r="J1362" s="1"/>
      <c r="K1362" s="1"/>
      <c r="L1362" s="1"/>
      <c r="M1362" s="1"/>
      <c r="N1362" s="1"/>
      <c r="O1362" s="1"/>
      <c r="P1362" s="1"/>
      <c r="Q1362" s="3"/>
    </row>
    <row r="1363" spans="1:18" x14ac:dyDescent="0.25">
      <c r="B1363" s="1"/>
      <c r="C1363" s="1"/>
      <c r="D1363" s="1"/>
      <c r="E1363" s="1"/>
      <c r="F1363" s="1"/>
      <c r="G1363" s="1"/>
      <c r="H1363" s="3"/>
      <c r="K1363" s="1"/>
      <c r="L1363" s="1"/>
      <c r="M1363" s="1"/>
      <c r="N1363" s="1"/>
      <c r="O1363" s="1"/>
      <c r="P1363" s="1"/>
      <c r="Q1363" s="3"/>
    </row>
    <row r="1364" spans="1:18" x14ac:dyDescent="0.25">
      <c r="B1364" s="1"/>
      <c r="C1364" s="1"/>
      <c r="D1364" s="1"/>
      <c r="E1364" s="1"/>
      <c r="F1364" s="1"/>
      <c r="G1364" s="8"/>
      <c r="H1364" s="9"/>
      <c r="K1364" s="1"/>
      <c r="L1364" s="1"/>
      <c r="M1364" s="1"/>
      <c r="N1364" s="1"/>
      <c r="O1364" s="1"/>
      <c r="P1364" s="1"/>
      <c r="Q1364" s="3"/>
    </row>
    <row r="1365" spans="1:18" x14ac:dyDescent="0.25">
      <c r="B1365" s="1"/>
      <c r="C1365" s="1"/>
      <c r="D1365" s="1"/>
      <c r="E1365" s="1"/>
      <c r="F1365" s="1"/>
      <c r="G1365" s="1"/>
      <c r="H1365" s="3"/>
      <c r="I1365" s="1"/>
      <c r="J1365" s="1"/>
      <c r="K1365" s="1"/>
      <c r="L1365" s="1"/>
      <c r="M1365" s="1"/>
      <c r="N1365" s="1"/>
      <c r="O1365" s="1"/>
      <c r="P1365" s="1"/>
      <c r="Q1365" s="3"/>
    </row>
    <row r="1366" spans="1:18" x14ac:dyDescent="0.25">
      <c r="B1366" s="1"/>
      <c r="C1366" s="1"/>
      <c r="D1366" s="1"/>
      <c r="E1366" s="1"/>
      <c r="F1366" s="1"/>
      <c r="G1366" s="1"/>
      <c r="H1366" s="3"/>
      <c r="I1366" s="1"/>
      <c r="J1366" s="1"/>
      <c r="K1366" s="1"/>
      <c r="L1366" s="1"/>
      <c r="M1366" s="1"/>
      <c r="N1366" s="1"/>
      <c r="O1366" s="1"/>
      <c r="P1366" s="1"/>
      <c r="Q1366" s="3"/>
      <c r="R1366" s="1"/>
    </row>
    <row r="1367" spans="1:18" x14ac:dyDescent="0.25">
      <c r="B1367" s="1"/>
      <c r="C1367" s="1"/>
      <c r="D1367" s="1"/>
      <c r="E1367" s="1"/>
      <c r="F1367" s="1"/>
      <c r="G1367" s="1"/>
      <c r="H1367" s="3"/>
      <c r="K1367" s="1"/>
      <c r="L1367" s="1"/>
      <c r="M1367" s="1"/>
      <c r="N1367" s="1"/>
      <c r="O1367" s="1"/>
      <c r="P1367" s="1"/>
      <c r="Q1367" s="3"/>
    </row>
    <row r="1368" spans="1:18" x14ac:dyDescent="0.25">
      <c r="B1368" s="1"/>
      <c r="C1368" s="1"/>
      <c r="D1368" s="1"/>
      <c r="E1368" s="1"/>
      <c r="F1368" s="1"/>
      <c r="G1368" s="1"/>
      <c r="H1368" s="3"/>
      <c r="I1368" s="1"/>
      <c r="J1368" s="1"/>
      <c r="K1368" s="1"/>
      <c r="L1368" s="1"/>
      <c r="M1368" s="1"/>
      <c r="N1368" s="1"/>
      <c r="O1368" s="1"/>
      <c r="P1368" s="1"/>
      <c r="Q1368" s="3"/>
    </row>
    <row r="1369" spans="1:18" x14ac:dyDescent="0.25">
      <c r="B1369" s="1"/>
      <c r="C1369" s="1"/>
      <c r="D1369" s="1"/>
      <c r="E1369" s="1"/>
      <c r="F1369" s="1"/>
      <c r="G1369" s="8"/>
      <c r="H1369" s="9"/>
      <c r="K1369" s="1"/>
      <c r="L1369" s="1"/>
      <c r="M1369" s="1"/>
      <c r="N1369" s="1"/>
      <c r="O1369" s="1"/>
      <c r="P1369" s="1"/>
      <c r="Q1369" s="3"/>
    </row>
    <row r="1370" spans="1:18" x14ac:dyDescent="0.25">
      <c r="B1370" s="1"/>
      <c r="C1370" s="1"/>
      <c r="D1370" s="1"/>
      <c r="E1370" s="1"/>
      <c r="F1370" s="1"/>
      <c r="G1370" s="1"/>
      <c r="H1370" s="3"/>
      <c r="K1370" s="1"/>
      <c r="L1370" s="1"/>
      <c r="M1370" s="1"/>
      <c r="N1370" s="1"/>
      <c r="O1370" s="1"/>
      <c r="P1370" s="1"/>
      <c r="Q1370" s="3"/>
    </row>
    <row r="1371" spans="1:18" x14ac:dyDescent="0.25">
      <c r="B1371" s="1"/>
      <c r="C1371" s="1"/>
      <c r="D1371" s="1"/>
      <c r="E1371" s="1"/>
      <c r="F1371" s="1"/>
      <c r="G1371" s="1"/>
      <c r="H1371" s="3"/>
      <c r="I1371" s="1"/>
      <c r="J1371" s="1"/>
      <c r="K1371" s="1"/>
      <c r="L1371" s="1"/>
      <c r="M1371" s="1"/>
      <c r="N1371" s="1"/>
      <c r="O1371" s="1"/>
      <c r="P1371" s="1"/>
      <c r="Q1371" s="3"/>
    </row>
    <row r="1372" spans="1:18" x14ac:dyDescent="0.25">
      <c r="B1372" s="1"/>
      <c r="C1372" s="1"/>
      <c r="D1372" s="1"/>
      <c r="E1372" s="1"/>
      <c r="F1372" s="1"/>
      <c r="G1372" s="1"/>
      <c r="H1372" s="3"/>
      <c r="K1372" s="1"/>
      <c r="L1372" s="1"/>
      <c r="M1372" s="1"/>
      <c r="N1372" s="1"/>
      <c r="O1372" s="1"/>
      <c r="P1372" s="1"/>
      <c r="Q1372" s="3"/>
    </row>
    <row r="1373" spans="1:18" x14ac:dyDescent="0.25">
      <c r="B1373" s="1"/>
      <c r="C1373" s="1"/>
      <c r="D1373" s="1"/>
      <c r="E1373" s="1"/>
      <c r="F1373" s="1"/>
      <c r="G1373" s="1"/>
      <c r="H1373" s="3"/>
      <c r="K1373" s="1"/>
      <c r="L1373" s="1"/>
      <c r="M1373" s="1"/>
      <c r="N1373" s="1"/>
      <c r="O1373" s="1"/>
      <c r="P1373" s="1"/>
      <c r="Q1373" s="3"/>
    </row>
    <row r="1374" spans="1:18" x14ac:dyDescent="0.25">
      <c r="B1374" s="1"/>
      <c r="C1374" s="1"/>
      <c r="D1374" s="1"/>
      <c r="E1374" s="1"/>
      <c r="F1374" s="1"/>
      <c r="G1374" s="1"/>
      <c r="H1374" s="3"/>
      <c r="K1374" s="1"/>
      <c r="L1374" s="1"/>
      <c r="M1374" s="1"/>
      <c r="N1374" s="1"/>
      <c r="O1374" s="1"/>
      <c r="P1374" s="1"/>
      <c r="Q1374" s="3"/>
    </row>
    <row r="1375" spans="1:18" x14ac:dyDescent="0.25">
      <c r="B1375" s="1"/>
      <c r="C1375" s="1"/>
      <c r="D1375" s="1"/>
      <c r="E1375" s="1"/>
      <c r="F1375" s="1"/>
      <c r="G1375" s="8"/>
      <c r="H1375" s="9"/>
      <c r="K1375" s="1"/>
      <c r="L1375" s="1"/>
      <c r="M1375" s="1"/>
      <c r="N1375" s="1"/>
      <c r="O1375" s="1"/>
      <c r="P1375" s="1"/>
      <c r="Q1375" s="3"/>
    </row>
    <row r="1376" spans="1:18" x14ac:dyDescent="0.25">
      <c r="A1376" s="7"/>
      <c r="B1376" s="1"/>
      <c r="C1376" s="1"/>
      <c r="D1376" s="1"/>
      <c r="E1376" s="1"/>
      <c r="F1376" s="1"/>
      <c r="G1376" s="1"/>
      <c r="H1376" s="3"/>
      <c r="K1376" s="10"/>
      <c r="L1376" s="10"/>
      <c r="M1376" s="10"/>
      <c r="N1376" s="10"/>
      <c r="O1376" s="10"/>
      <c r="P1376" s="1"/>
      <c r="Q1376" s="3"/>
    </row>
    <row r="1377" spans="1:18" x14ac:dyDescent="0.25">
      <c r="B1377" s="1"/>
      <c r="C1377" s="1"/>
      <c r="D1377" s="1"/>
      <c r="E1377" s="1"/>
      <c r="F1377" s="1"/>
      <c r="G1377" s="1"/>
      <c r="H1377" s="3"/>
      <c r="I1377" s="1"/>
      <c r="J1377" s="1"/>
      <c r="K1377" s="1"/>
      <c r="L1377" s="1"/>
      <c r="M1377" s="1"/>
      <c r="N1377" s="1"/>
      <c r="O1377" s="1"/>
      <c r="P1377" s="1"/>
      <c r="Q1377" s="3"/>
    </row>
    <row r="1378" spans="1:18" x14ac:dyDescent="0.25">
      <c r="B1378" s="1"/>
      <c r="C1378" s="1"/>
      <c r="D1378" s="1"/>
      <c r="E1378" s="1"/>
      <c r="F1378" s="1"/>
      <c r="G1378" s="1"/>
      <c r="H1378" s="3"/>
      <c r="I1378" s="1"/>
      <c r="J1378" s="1"/>
      <c r="K1378" s="1"/>
      <c r="L1378" s="1"/>
      <c r="M1378" s="1"/>
      <c r="N1378" s="1"/>
      <c r="O1378" s="1"/>
      <c r="P1378" s="1"/>
      <c r="Q1378" s="3"/>
    </row>
    <row r="1379" spans="1:18" x14ac:dyDescent="0.25">
      <c r="B1379" s="1"/>
      <c r="C1379" s="1"/>
      <c r="D1379" s="1"/>
      <c r="E1379" s="1"/>
      <c r="F1379" s="1"/>
      <c r="G1379" s="1"/>
      <c r="H1379" s="3"/>
      <c r="I1379" s="1"/>
      <c r="J1379" s="1"/>
      <c r="K1379" s="1"/>
      <c r="L1379" s="1"/>
      <c r="M1379" s="1"/>
      <c r="N1379" s="1"/>
      <c r="O1379" s="1"/>
      <c r="P1379" s="1"/>
      <c r="Q1379" s="3"/>
      <c r="R1379" s="1"/>
    </row>
    <row r="1380" spans="1:18" x14ac:dyDescent="0.25">
      <c r="B1380" s="1"/>
      <c r="C1380" s="1"/>
      <c r="D1380" s="1"/>
      <c r="E1380" s="1"/>
      <c r="F1380" s="1"/>
      <c r="G1380" s="1"/>
      <c r="H1380" s="3"/>
      <c r="K1380" s="1"/>
      <c r="L1380" s="1"/>
      <c r="M1380" s="1"/>
      <c r="N1380" s="1"/>
      <c r="O1380" s="1"/>
      <c r="P1380" s="1"/>
      <c r="Q1380" s="3"/>
    </row>
    <row r="1381" spans="1:18" x14ac:dyDescent="0.25">
      <c r="B1381" s="1"/>
      <c r="C1381" s="1"/>
      <c r="D1381" s="1"/>
      <c r="E1381" s="1"/>
      <c r="F1381" s="1"/>
      <c r="G1381" s="1"/>
      <c r="H1381" s="3"/>
      <c r="K1381" s="1"/>
      <c r="L1381" s="1"/>
      <c r="M1381" s="1"/>
      <c r="N1381" s="1"/>
      <c r="O1381" s="1"/>
      <c r="P1381" s="1"/>
      <c r="Q1381" s="3"/>
    </row>
    <row r="1382" spans="1:18" x14ac:dyDescent="0.25">
      <c r="B1382" s="1"/>
      <c r="C1382" s="1"/>
      <c r="D1382" s="1"/>
      <c r="E1382" s="1"/>
      <c r="F1382" s="1"/>
      <c r="G1382" s="1"/>
      <c r="H1382" s="3"/>
      <c r="K1382" s="1"/>
      <c r="L1382" s="1"/>
      <c r="M1382" s="1"/>
      <c r="N1382" s="1"/>
      <c r="O1382" s="1"/>
      <c r="P1382" s="1"/>
      <c r="Q1382" s="3"/>
    </row>
    <row r="1383" spans="1:18" x14ac:dyDescent="0.25">
      <c r="B1383" s="1"/>
      <c r="C1383" s="1"/>
      <c r="D1383" s="1"/>
      <c r="E1383" s="1"/>
      <c r="F1383" s="1"/>
      <c r="G1383" s="1"/>
      <c r="H1383" s="3"/>
      <c r="K1383" s="1"/>
      <c r="L1383" s="1"/>
      <c r="M1383" s="1"/>
      <c r="N1383" s="1"/>
      <c r="O1383" s="1"/>
      <c r="P1383" s="1"/>
      <c r="Q1383" s="3"/>
    </row>
    <row r="1384" spans="1:18" x14ac:dyDescent="0.25">
      <c r="B1384" s="1"/>
      <c r="C1384" s="1"/>
      <c r="D1384" s="1"/>
      <c r="E1384" s="1"/>
      <c r="F1384" s="1"/>
      <c r="G1384" s="1"/>
      <c r="H1384" s="3"/>
      <c r="I1384" s="1"/>
      <c r="J1384" s="1"/>
      <c r="K1384" s="1"/>
      <c r="L1384" s="1"/>
      <c r="M1384" s="1"/>
      <c r="N1384" s="1"/>
      <c r="O1384" s="1"/>
      <c r="P1384" s="1"/>
      <c r="Q1384" s="3"/>
      <c r="R1384" s="1"/>
    </row>
    <row r="1385" spans="1:18" x14ac:dyDescent="0.25">
      <c r="B1385" s="1"/>
      <c r="C1385" s="1"/>
      <c r="D1385" s="1"/>
      <c r="E1385" s="1"/>
      <c r="F1385" s="1"/>
      <c r="G1385" s="1"/>
      <c r="H1385" s="3"/>
      <c r="K1385" s="1"/>
      <c r="L1385" s="1"/>
      <c r="M1385" s="1"/>
      <c r="N1385" s="1"/>
      <c r="O1385" s="1"/>
      <c r="P1385" s="1"/>
      <c r="Q1385" s="3"/>
    </row>
    <row r="1386" spans="1:18" x14ac:dyDescent="0.25">
      <c r="A1386" s="7"/>
      <c r="B1386" s="1"/>
      <c r="C1386" s="1"/>
      <c r="D1386" s="1"/>
      <c r="E1386" s="1"/>
      <c r="F1386" s="1"/>
      <c r="G1386" s="1"/>
      <c r="H1386" s="3"/>
      <c r="K1386" s="10"/>
      <c r="L1386" s="10"/>
      <c r="M1386" s="10"/>
      <c r="N1386" s="10"/>
      <c r="O1386" s="10"/>
      <c r="P1386" s="1"/>
      <c r="Q1386" s="3"/>
    </row>
    <row r="1387" spans="1:18" x14ac:dyDescent="0.25">
      <c r="B1387" s="1"/>
      <c r="C1387" s="1"/>
      <c r="D1387" s="1"/>
      <c r="E1387" s="1"/>
      <c r="F1387" s="1"/>
      <c r="G1387" s="1"/>
      <c r="H1387" s="3"/>
      <c r="K1387" s="1"/>
      <c r="L1387" s="1"/>
      <c r="M1387" s="1"/>
      <c r="N1387" s="1"/>
      <c r="O1387" s="1"/>
      <c r="P1387" s="1"/>
      <c r="Q1387" s="3"/>
    </row>
    <row r="1388" spans="1:18" x14ac:dyDescent="0.25">
      <c r="B1388" s="1"/>
      <c r="C1388" s="1"/>
      <c r="D1388" s="1"/>
      <c r="E1388" s="1"/>
      <c r="F1388" s="1"/>
      <c r="G1388" s="1"/>
      <c r="H1388" s="3"/>
      <c r="K1388" s="1"/>
      <c r="L1388" s="1"/>
      <c r="M1388" s="1"/>
      <c r="N1388" s="1"/>
      <c r="O1388" s="1"/>
      <c r="P1388" s="1"/>
      <c r="Q1388" s="3"/>
    </row>
    <row r="1389" spans="1:18" x14ac:dyDescent="0.25">
      <c r="B1389" s="1"/>
      <c r="C1389" s="1"/>
      <c r="D1389" s="1"/>
      <c r="E1389" s="1"/>
      <c r="F1389" s="1"/>
      <c r="G1389" s="1"/>
      <c r="H1389" s="3"/>
      <c r="K1389" s="1"/>
      <c r="L1389" s="1"/>
      <c r="M1389" s="1"/>
      <c r="N1389" s="1"/>
      <c r="O1389" s="1"/>
      <c r="P1389" s="1"/>
      <c r="Q1389" s="3"/>
    </row>
    <row r="1390" spans="1:18" x14ac:dyDescent="0.25">
      <c r="B1390" s="1"/>
      <c r="C1390" s="1"/>
      <c r="D1390" s="1"/>
      <c r="E1390" s="1"/>
      <c r="F1390" s="1"/>
      <c r="G1390" s="1"/>
      <c r="H1390" s="3"/>
      <c r="K1390" s="1"/>
      <c r="L1390" s="1"/>
      <c r="M1390" s="1"/>
      <c r="N1390" s="1"/>
      <c r="O1390" s="1"/>
      <c r="P1390" s="1"/>
      <c r="Q1390" s="3"/>
    </row>
    <row r="1391" spans="1:18" x14ac:dyDescent="0.25">
      <c r="B1391" s="1"/>
      <c r="C1391" s="1"/>
      <c r="D1391" s="1"/>
      <c r="E1391" s="1"/>
      <c r="F1391" s="1"/>
      <c r="G1391" s="8"/>
      <c r="H1391" s="9"/>
      <c r="K1391" s="1"/>
      <c r="L1391" s="1"/>
      <c r="M1391" s="1"/>
      <c r="N1391" s="1"/>
      <c r="O1391" s="1"/>
      <c r="P1391" s="1"/>
      <c r="Q1391" s="3"/>
    </row>
    <row r="1392" spans="1:18" x14ac:dyDescent="0.25">
      <c r="B1392" s="1"/>
      <c r="C1392" s="1"/>
      <c r="D1392" s="1"/>
      <c r="E1392" s="1"/>
      <c r="F1392" s="1"/>
      <c r="G1392" s="8"/>
      <c r="H1392" s="9"/>
      <c r="K1392" s="1"/>
      <c r="L1392" s="1"/>
      <c r="M1392" s="1"/>
      <c r="N1392" s="1"/>
      <c r="O1392" s="1"/>
      <c r="P1392" s="1"/>
      <c r="Q1392" s="3"/>
    </row>
    <row r="1393" spans="1:18" x14ac:dyDescent="0.25">
      <c r="B1393" s="1"/>
      <c r="C1393" s="1"/>
      <c r="D1393" s="1"/>
      <c r="E1393" s="1"/>
      <c r="F1393" s="1"/>
      <c r="G1393" s="1"/>
      <c r="H1393" s="3"/>
      <c r="K1393" s="1"/>
      <c r="L1393" s="1"/>
      <c r="M1393" s="1"/>
      <c r="N1393" s="1"/>
      <c r="O1393" s="1"/>
      <c r="P1393" s="1"/>
      <c r="Q1393" s="3"/>
    </row>
    <row r="1394" spans="1:18" x14ac:dyDescent="0.25">
      <c r="B1394" s="1"/>
      <c r="C1394" s="1"/>
      <c r="D1394" s="1"/>
      <c r="E1394" s="1"/>
      <c r="F1394" s="1"/>
      <c r="G1394" s="1"/>
      <c r="H1394" s="3"/>
      <c r="I1394" s="1"/>
      <c r="J1394" s="1"/>
      <c r="K1394" s="1"/>
      <c r="L1394" s="1"/>
      <c r="M1394" s="1"/>
      <c r="N1394" s="1"/>
      <c r="O1394" s="1"/>
      <c r="P1394" s="1"/>
      <c r="Q1394" s="3"/>
      <c r="R1394" s="1"/>
    </row>
    <row r="1395" spans="1:18" x14ac:dyDescent="0.25">
      <c r="A1395" s="7"/>
      <c r="B1395" s="1"/>
      <c r="C1395" s="1"/>
      <c r="D1395" s="1"/>
      <c r="E1395" s="1"/>
      <c r="F1395" s="1"/>
      <c r="G1395" s="1"/>
      <c r="H1395" s="3"/>
      <c r="K1395" s="10"/>
      <c r="L1395" s="10"/>
      <c r="M1395" s="10"/>
      <c r="N1395" s="10"/>
      <c r="O1395" s="10"/>
      <c r="P1395" s="1"/>
      <c r="Q1395" s="3"/>
    </row>
    <row r="1396" spans="1:18" x14ac:dyDescent="0.25">
      <c r="B1396" s="1"/>
      <c r="C1396" s="1"/>
      <c r="D1396" s="1"/>
      <c r="E1396" s="1"/>
      <c r="F1396" s="1"/>
      <c r="G1396" s="1"/>
      <c r="H1396" s="3"/>
      <c r="I1396" s="1"/>
      <c r="J1396" s="1"/>
      <c r="K1396" s="1"/>
      <c r="L1396" s="1"/>
      <c r="M1396" s="1"/>
      <c r="N1396" s="1"/>
      <c r="O1396" s="1"/>
      <c r="P1396" s="1"/>
      <c r="Q1396" s="3"/>
    </row>
    <row r="1397" spans="1:18" x14ac:dyDescent="0.25">
      <c r="B1397" s="1"/>
      <c r="C1397" s="1"/>
      <c r="D1397" s="1"/>
      <c r="E1397" s="1"/>
      <c r="F1397" s="1"/>
      <c r="G1397" s="1"/>
      <c r="H1397" s="3"/>
      <c r="K1397" s="1"/>
      <c r="L1397" s="1"/>
      <c r="M1397" s="1"/>
      <c r="N1397" s="1"/>
      <c r="O1397" s="1"/>
      <c r="P1397" s="1"/>
      <c r="Q1397" s="3"/>
    </row>
    <row r="1398" spans="1:18" x14ac:dyDescent="0.25">
      <c r="B1398" s="1"/>
      <c r="C1398" s="1"/>
      <c r="D1398" s="1"/>
      <c r="E1398" s="1"/>
      <c r="F1398" s="1"/>
      <c r="G1398" s="1"/>
      <c r="H1398" s="3"/>
      <c r="I1398" s="1"/>
      <c r="J1398" s="1"/>
      <c r="K1398" s="1"/>
      <c r="L1398" s="1"/>
      <c r="M1398" s="1"/>
      <c r="N1398" s="1"/>
      <c r="O1398" s="1"/>
      <c r="P1398" s="1"/>
      <c r="Q1398" s="3"/>
      <c r="R1398" s="1"/>
    </row>
    <row r="1399" spans="1:18" x14ac:dyDescent="0.25">
      <c r="B1399" s="1"/>
      <c r="C1399" s="1"/>
      <c r="D1399" s="1"/>
      <c r="E1399" s="1"/>
      <c r="F1399" s="1"/>
      <c r="G1399" s="1"/>
      <c r="H1399" s="3"/>
      <c r="I1399" s="1"/>
      <c r="J1399" s="1"/>
      <c r="K1399" s="1"/>
      <c r="L1399" s="1"/>
      <c r="M1399" s="1"/>
      <c r="N1399" s="1"/>
      <c r="O1399" s="1"/>
      <c r="P1399" s="1"/>
      <c r="Q1399" s="3"/>
    </row>
    <row r="1400" spans="1:18" x14ac:dyDescent="0.25">
      <c r="B1400" s="1"/>
      <c r="C1400" s="1"/>
      <c r="D1400" s="1"/>
      <c r="E1400" s="1"/>
      <c r="F1400" s="1"/>
      <c r="G1400" s="8"/>
      <c r="H1400" s="9"/>
      <c r="K1400" s="1"/>
      <c r="L1400" s="1"/>
      <c r="M1400" s="1"/>
      <c r="N1400" s="1"/>
      <c r="O1400" s="1"/>
      <c r="P1400" s="1"/>
      <c r="Q1400" s="3"/>
    </row>
    <row r="1401" spans="1:18" x14ac:dyDescent="0.25">
      <c r="A1401" s="7"/>
      <c r="B1401" s="1"/>
      <c r="C1401" s="1"/>
      <c r="D1401" s="1"/>
      <c r="E1401" s="1"/>
      <c r="F1401" s="1"/>
      <c r="G1401" s="1"/>
      <c r="H1401" s="3"/>
      <c r="K1401" s="10"/>
      <c r="L1401" s="10"/>
      <c r="M1401" s="10"/>
      <c r="N1401" s="10"/>
      <c r="O1401" s="10"/>
      <c r="P1401" s="1"/>
      <c r="Q1401" s="3"/>
    </row>
    <row r="1402" spans="1:18" x14ac:dyDescent="0.25">
      <c r="B1402" s="1"/>
      <c r="C1402" s="1"/>
      <c r="D1402" s="1"/>
      <c r="E1402" s="1"/>
      <c r="F1402" s="1"/>
      <c r="G1402" s="1"/>
      <c r="H1402" s="3"/>
      <c r="I1402" s="1"/>
      <c r="J1402" s="1"/>
      <c r="K1402" s="1"/>
      <c r="L1402" s="1"/>
      <c r="M1402" s="1"/>
      <c r="N1402" s="1"/>
      <c r="O1402" s="1"/>
      <c r="P1402" s="1"/>
      <c r="Q1402" s="3"/>
    </row>
    <row r="1403" spans="1:18" x14ac:dyDescent="0.25">
      <c r="B1403" s="1"/>
      <c r="C1403" s="1"/>
      <c r="D1403" s="1"/>
      <c r="E1403" s="1"/>
      <c r="F1403" s="1"/>
      <c r="G1403" s="1"/>
      <c r="H1403" s="3"/>
      <c r="K1403" s="1"/>
      <c r="L1403" s="1"/>
      <c r="M1403" s="1"/>
      <c r="N1403" s="1"/>
      <c r="O1403" s="1"/>
      <c r="P1403" s="1"/>
      <c r="Q1403" s="3"/>
    </row>
    <row r="1404" spans="1:18" x14ac:dyDescent="0.25">
      <c r="B1404" s="1"/>
      <c r="C1404" s="1"/>
      <c r="D1404" s="1"/>
      <c r="E1404" s="1"/>
      <c r="F1404" s="1"/>
      <c r="G1404" s="1"/>
      <c r="H1404" s="3"/>
      <c r="I1404" s="1"/>
      <c r="J1404" s="1"/>
      <c r="K1404" s="1"/>
      <c r="L1404" s="1"/>
      <c r="M1404" s="1"/>
      <c r="N1404" s="1"/>
      <c r="O1404" s="1"/>
      <c r="P1404" s="1"/>
      <c r="Q1404" s="3"/>
    </row>
    <row r="1405" spans="1:18" x14ac:dyDescent="0.25">
      <c r="B1405" s="1"/>
      <c r="C1405" s="1"/>
      <c r="D1405" s="1"/>
      <c r="E1405" s="1"/>
      <c r="F1405" s="1"/>
      <c r="G1405" s="1"/>
      <c r="H1405" s="3"/>
      <c r="I1405" s="1"/>
      <c r="J1405" s="1"/>
      <c r="K1405" s="1"/>
      <c r="L1405" s="1"/>
      <c r="M1405" s="1"/>
      <c r="N1405" s="1"/>
      <c r="O1405" s="1"/>
      <c r="P1405" s="1"/>
      <c r="Q1405" s="3"/>
    </row>
    <row r="1406" spans="1:18" x14ac:dyDescent="0.25">
      <c r="A1406" s="7"/>
      <c r="B1406" s="1"/>
      <c r="C1406" s="1"/>
      <c r="D1406" s="1"/>
      <c r="E1406" s="1"/>
      <c r="F1406" s="1"/>
      <c r="G1406" s="1"/>
      <c r="H1406" s="3"/>
      <c r="K1406" s="10"/>
      <c r="L1406" s="10"/>
      <c r="M1406" s="10"/>
      <c r="N1406" s="10"/>
      <c r="O1406" s="10"/>
      <c r="P1406" s="1"/>
      <c r="Q1406" s="3"/>
    </row>
    <row r="1407" spans="1:18" x14ac:dyDescent="0.25">
      <c r="B1407" s="1"/>
      <c r="C1407" s="1"/>
      <c r="D1407" s="1"/>
      <c r="E1407" s="1"/>
      <c r="F1407" s="1"/>
      <c r="G1407" s="1"/>
      <c r="H1407" s="3"/>
      <c r="K1407" s="1"/>
      <c r="L1407" s="1"/>
      <c r="M1407" s="1"/>
      <c r="N1407" s="1"/>
      <c r="O1407" s="1"/>
      <c r="P1407" s="1"/>
      <c r="Q1407" s="3"/>
    </row>
    <row r="1408" spans="1:18" x14ac:dyDescent="0.25">
      <c r="B1408" s="1"/>
      <c r="C1408" s="1"/>
      <c r="D1408" s="1"/>
      <c r="E1408" s="1"/>
      <c r="F1408" s="1"/>
      <c r="G1408" s="1"/>
      <c r="H1408" s="3"/>
      <c r="K1408" s="1"/>
      <c r="L1408" s="1"/>
      <c r="M1408" s="1"/>
      <c r="N1408" s="1"/>
      <c r="O1408" s="1"/>
      <c r="P1408" s="1"/>
      <c r="Q1408" s="3"/>
    </row>
    <row r="1409" spans="2:18" x14ac:dyDescent="0.25">
      <c r="B1409" s="1"/>
      <c r="C1409" s="1"/>
      <c r="D1409" s="1"/>
      <c r="E1409" s="1"/>
      <c r="F1409" s="1"/>
      <c r="G1409" s="1"/>
      <c r="H1409" s="3"/>
      <c r="K1409" s="1"/>
      <c r="L1409" s="1"/>
      <c r="M1409" s="1"/>
      <c r="N1409" s="1"/>
      <c r="O1409" s="1"/>
      <c r="P1409" s="1"/>
      <c r="Q1409" s="3"/>
    </row>
    <row r="1410" spans="2:18" x14ac:dyDescent="0.25">
      <c r="B1410" s="1"/>
      <c r="C1410" s="1"/>
      <c r="D1410" s="1"/>
      <c r="E1410" s="1"/>
      <c r="F1410" s="1"/>
      <c r="G1410" s="1"/>
      <c r="H1410" s="3"/>
      <c r="K1410" s="1"/>
      <c r="L1410" s="1"/>
      <c r="M1410" s="1"/>
      <c r="N1410" s="1"/>
      <c r="O1410" s="1"/>
      <c r="P1410" s="1"/>
      <c r="Q1410" s="3"/>
    </row>
    <row r="1411" spans="2:18" x14ac:dyDescent="0.25">
      <c r="B1411" s="1"/>
      <c r="C1411" s="1"/>
      <c r="D1411" s="1"/>
      <c r="E1411" s="1"/>
      <c r="F1411" s="1"/>
      <c r="G1411" s="1"/>
      <c r="H1411" s="3"/>
      <c r="K1411" s="1"/>
      <c r="L1411" s="1"/>
      <c r="M1411" s="1"/>
      <c r="N1411" s="1"/>
      <c r="O1411" s="1"/>
      <c r="P1411" s="1"/>
      <c r="Q1411" s="3"/>
    </row>
    <row r="1412" spans="2:18" x14ac:dyDescent="0.25">
      <c r="B1412" s="1"/>
      <c r="C1412" s="1"/>
      <c r="D1412" s="1"/>
      <c r="E1412" s="1"/>
      <c r="F1412" s="1"/>
      <c r="G1412" s="1"/>
      <c r="H1412" s="3"/>
      <c r="K1412" s="1"/>
      <c r="L1412" s="1"/>
      <c r="M1412" s="1"/>
      <c r="N1412" s="1"/>
      <c r="O1412" s="1"/>
      <c r="P1412" s="1"/>
      <c r="Q1412" s="3"/>
    </row>
    <row r="1413" spans="2:18" x14ac:dyDescent="0.25">
      <c r="B1413" s="1"/>
      <c r="C1413" s="1"/>
      <c r="D1413" s="1"/>
      <c r="E1413" s="1"/>
      <c r="F1413" s="1"/>
      <c r="G1413" s="1"/>
      <c r="H1413" s="3"/>
      <c r="K1413" s="1"/>
      <c r="L1413" s="1"/>
      <c r="M1413" s="1"/>
      <c r="N1413" s="1"/>
      <c r="O1413" s="1"/>
      <c r="P1413" s="1"/>
      <c r="Q1413" s="3"/>
    </row>
    <row r="1414" spans="2:18" x14ac:dyDescent="0.25">
      <c r="B1414" s="1"/>
      <c r="C1414" s="1"/>
      <c r="D1414" s="1"/>
      <c r="E1414" s="1"/>
      <c r="F1414" s="1"/>
      <c r="G1414" s="1"/>
      <c r="H1414" s="3"/>
      <c r="K1414" s="1"/>
      <c r="L1414" s="1"/>
      <c r="M1414" s="1"/>
      <c r="N1414" s="1"/>
      <c r="O1414" s="1"/>
      <c r="P1414" s="1"/>
      <c r="Q1414" s="3"/>
    </row>
    <row r="1415" spans="2:18" x14ac:dyDescent="0.25">
      <c r="B1415" s="1"/>
      <c r="C1415" s="1"/>
      <c r="D1415" s="1"/>
      <c r="E1415" s="1"/>
      <c r="F1415" s="1"/>
      <c r="G1415" s="1"/>
      <c r="H1415" s="3"/>
      <c r="I1415" s="1"/>
      <c r="J1415" s="1"/>
      <c r="K1415" s="1"/>
      <c r="L1415" s="1"/>
      <c r="M1415" s="1"/>
      <c r="N1415" s="1"/>
      <c r="O1415" s="1"/>
      <c r="P1415" s="1"/>
      <c r="Q1415" s="3"/>
    </row>
    <row r="1416" spans="2:18" x14ac:dyDescent="0.25">
      <c r="B1416" s="1"/>
      <c r="C1416" s="1"/>
      <c r="D1416" s="1"/>
      <c r="E1416" s="1"/>
      <c r="F1416" s="1"/>
      <c r="G1416" s="1"/>
      <c r="H1416" s="3"/>
      <c r="I1416" s="1"/>
      <c r="J1416" s="1"/>
      <c r="K1416" s="1"/>
      <c r="L1416" s="1"/>
      <c r="M1416" s="1"/>
      <c r="N1416" s="1"/>
      <c r="O1416" s="1"/>
      <c r="P1416" s="1"/>
      <c r="Q1416" s="3"/>
    </row>
    <row r="1417" spans="2:18" x14ac:dyDescent="0.25">
      <c r="B1417" s="1"/>
      <c r="C1417" s="1"/>
      <c r="D1417" s="1"/>
      <c r="E1417" s="1"/>
      <c r="F1417" s="1"/>
      <c r="G1417" s="1"/>
      <c r="H1417" s="3"/>
      <c r="I1417" s="1"/>
      <c r="J1417" s="1"/>
      <c r="K1417" s="1"/>
      <c r="L1417" s="1"/>
      <c r="M1417" s="1"/>
      <c r="N1417" s="1"/>
      <c r="O1417" s="1"/>
      <c r="P1417" s="1"/>
      <c r="Q1417" s="3"/>
      <c r="R1417" s="1"/>
    </row>
    <row r="1418" spans="2:18" x14ac:dyDescent="0.25">
      <c r="B1418" s="1"/>
      <c r="C1418" s="1"/>
      <c r="D1418" s="1"/>
      <c r="E1418" s="1"/>
      <c r="F1418" s="1"/>
      <c r="G1418" s="1"/>
      <c r="H1418" s="3"/>
      <c r="K1418" s="1"/>
      <c r="L1418" s="1"/>
      <c r="M1418" s="1"/>
      <c r="N1418" s="1"/>
      <c r="O1418" s="1"/>
      <c r="P1418" s="1"/>
      <c r="Q1418" s="3"/>
    </row>
    <row r="1419" spans="2:18" x14ac:dyDescent="0.25">
      <c r="B1419" s="1"/>
      <c r="C1419" s="1"/>
      <c r="D1419" s="1"/>
      <c r="E1419" s="1"/>
      <c r="F1419" s="1"/>
      <c r="G1419" s="1"/>
      <c r="H1419" s="3"/>
      <c r="K1419" s="1"/>
      <c r="L1419" s="1"/>
      <c r="M1419" s="1"/>
      <c r="N1419" s="1"/>
      <c r="O1419" s="1"/>
      <c r="P1419" s="1"/>
      <c r="Q1419" s="3"/>
    </row>
    <row r="1420" spans="2:18" x14ac:dyDescent="0.25">
      <c r="B1420" s="1"/>
      <c r="C1420" s="1"/>
      <c r="D1420" s="1"/>
      <c r="E1420" s="1"/>
      <c r="F1420" s="1"/>
      <c r="G1420" s="1"/>
      <c r="H1420" s="3"/>
      <c r="K1420" s="1"/>
      <c r="L1420" s="1"/>
      <c r="M1420" s="1"/>
      <c r="N1420" s="1"/>
      <c r="O1420" s="1"/>
      <c r="P1420" s="1"/>
      <c r="Q1420" s="3"/>
    </row>
    <row r="1421" spans="2:18" x14ac:dyDescent="0.25">
      <c r="B1421" s="1"/>
      <c r="C1421" s="1"/>
      <c r="D1421" s="1"/>
      <c r="E1421" s="1"/>
      <c r="F1421" s="1"/>
      <c r="G1421" s="1"/>
      <c r="H1421" s="3"/>
      <c r="K1421" s="1"/>
      <c r="L1421" s="1"/>
      <c r="M1421" s="1"/>
      <c r="N1421" s="1"/>
      <c r="O1421" s="1"/>
      <c r="P1421" s="1"/>
      <c r="Q1421" s="3"/>
    </row>
    <row r="1422" spans="2:18" x14ac:dyDescent="0.25">
      <c r="B1422" s="1"/>
      <c r="C1422" s="1"/>
      <c r="D1422" s="1"/>
      <c r="E1422" s="1"/>
      <c r="F1422" s="1"/>
      <c r="G1422" s="1"/>
      <c r="H1422" s="3"/>
      <c r="K1422" s="1"/>
      <c r="L1422" s="1"/>
      <c r="M1422" s="1"/>
      <c r="N1422" s="1"/>
      <c r="O1422" s="1"/>
      <c r="P1422" s="1"/>
      <c r="Q1422" s="3"/>
    </row>
    <row r="1423" spans="2:18" x14ac:dyDescent="0.25">
      <c r="B1423" s="1"/>
      <c r="C1423" s="1"/>
      <c r="D1423" s="1"/>
      <c r="E1423" s="1"/>
      <c r="F1423" s="1"/>
      <c r="G1423" s="1"/>
      <c r="H1423" s="3"/>
      <c r="I1423" s="1"/>
      <c r="J1423" s="1"/>
      <c r="K1423" s="1"/>
      <c r="L1423" s="1"/>
      <c r="M1423" s="1"/>
      <c r="N1423" s="1"/>
      <c r="O1423" s="1"/>
      <c r="P1423" s="1"/>
      <c r="Q1423" s="3"/>
    </row>
    <row r="1424" spans="2:18" x14ac:dyDescent="0.25">
      <c r="B1424" s="1"/>
      <c r="C1424" s="1"/>
      <c r="D1424" s="1"/>
      <c r="E1424" s="1"/>
      <c r="F1424" s="1"/>
      <c r="G1424" s="1"/>
      <c r="H1424" s="3"/>
      <c r="K1424" s="1"/>
      <c r="L1424" s="1"/>
      <c r="M1424" s="1"/>
      <c r="N1424" s="1"/>
      <c r="O1424" s="1"/>
      <c r="P1424" s="1"/>
      <c r="Q1424" s="3"/>
    </row>
    <row r="1425" spans="2:18" x14ac:dyDescent="0.25">
      <c r="B1425" s="1"/>
      <c r="C1425" s="1"/>
      <c r="D1425" s="1"/>
      <c r="E1425" s="1"/>
      <c r="F1425" s="1"/>
      <c r="G1425" s="1"/>
      <c r="H1425" s="3"/>
      <c r="I1425" s="1"/>
      <c r="J1425" s="1"/>
      <c r="K1425" s="1"/>
      <c r="L1425" s="1"/>
      <c r="M1425" s="1"/>
      <c r="N1425" s="1"/>
      <c r="O1425" s="1"/>
      <c r="P1425" s="1"/>
      <c r="Q1425" s="3"/>
      <c r="R1425" s="1"/>
    </row>
    <row r="1426" spans="2:18" x14ac:dyDescent="0.25">
      <c r="B1426" s="1"/>
      <c r="C1426" s="1"/>
      <c r="D1426" s="1"/>
      <c r="E1426" s="1"/>
      <c r="F1426" s="1"/>
      <c r="G1426" s="1"/>
      <c r="H1426" s="3"/>
      <c r="K1426" s="1"/>
      <c r="L1426" s="1"/>
      <c r="M1426" s="1"/>
      <c r="N1426" s="1"/>
      <c r="O1426" s="1"/>
      <c r="P1426" s="1"/>
      <c r="Q1426" s="3"/>
    </row>
    <row r="1427" spans="2:18" x14ac:dyDescent="0.25">
      <c r="K1427" s="1"/>
      <c r="L1427" s="1"/>
      <c r="M1427" s="1"/>
      <c r="N1427" s="1"/>
      <c r="O1427" s="1"/>
      <c r="P1427" s="1"/>
      <c r="Q1427" s="3"/>
    </row>
    <row r="1428" spans="2:18" x14ac:dyDescent="0.25">
      <c r="B1428" s="1"/>
      <c r="C1428" s="1"/>
      <c r="D1428" s="1"/>
      <c r="E1428" s="1"/>
      <c r="F1428" s="1"/>
      <c r="G1428" s="1"/>
      <c r="H1428" s="3"/>
      <c r="I1428" s="1"/>
      <c r="J1428" s="1"/>
      <c r="K1428" s="1"/>
      <c r="L1428" s="1"/>
      <c r="M1428" s="1"/>
      <c r="N1428" s="1"/>
      <c r="O1428" s="1"/>
      <c r="P1428" s="1"/>
      <c r="Q1428" s="3"/>
    </row>
    <row r="1429" spans="2:18" x14ac:dyDescent="0.25">
      <c r="B1429" s="1"/>
      <c r="C1429" s="1"/>
      <c r="D1429" s="1"/>
      <c r="E1429" s="1"/>
      <c r="F1429" s="1"/>
      <c r="G1429" s="1"/>
      <c r="H1429" s="3"/>
      <c r="I1429" s="1"/>
      <c r="J1429" s="1"/>
      <c r="K1429" s="1"/>
      <c r="L1429" s="1"/>
      <c r="M1429" s="1"/>
      <c r="N1429" s="1"/>
      <c r="O1429" s="1"/>
      <c r="P1429" s="1"/>
      <c r="Q1429" s="3"/>
    </row>
    <row r="1430" spans="2:18" x14ac:dyDescent="0.25">
      <c r="B1430" s="1"/>
      <c r="C1430" s="1"/>
      <c r="D1430" s="1"/>
      <c r="E1430" s="1"/>
      <c r="F1430" s="1"/>
      <c r="G1430" s="1"/>
      <c r="H1430" s="3"/>
      <c r="K1430" s="1"/>
      <c r="L1430" s="1"/>
      <c r="M1430" s="1"/>
      <c r="N1430" s="1"/>
      <c r="O1430" s="1"/>
      <c r="P1430" s="1"/>
      <c r="Q1430" s="3"/>
    </row>
    <row r="1431" spans="2:18" x14ac:dyDescent="0.25">
      <c r="B1431" s="1"/>
      <c r="C1431" s="1"/>
      <c r="D1431" s="1"/>
      <c r="E1431" s="1"/>
      <c r="F1431" s="1"/>
      <c r="G1431" s="1"/>
      <c r="H1431" s="3"/>
      <c r="I1431" s="1"/>
      <c r="J1431" s="1"/>
      <c r="K1431" s="1"/>
      <c r="L1431" s="1"/>
      <c r="M1431" s="1"/>
      <c r="N1431" s="1"/>
      <c r="O1431" s="1"/>
      <c r="P1431" s="1"/>
      <c r="Q1431" s="3"/>
    </row>
    <row r="1432" spans="2:18" x14ac:dyDescent="0.25">
      <c r="B1432" s="1"/>
      <c r="C1432" s="1"/>
      <c r="D1432" s="1"/>
      <c r="E1432" s="1"/>
      <c r="F1432" s="1"/>
      <c r="G1432" s="1"/>
      <c r="H1432" s="3"/>
      <c r="I1432" s="1"/>
      <c r="J1432" s="1"/>
      <c r="K1432" s="1"/>
      <c r="L1432" s="1"/>
      <c r="M1432" s="1"/>
      <c r="N1432" s="1"/>
      <c r="O1432" s="1"/>
      <c r="P1432" s="1"/>
      <c r="Q1432" s="3"/>
    </row>
    <row r="1433" spans="2:18" x14ac:dyDescent="0.25">
      <c r="B1433" s="1"/>
      <c r="C1433" s="1"/>
      <c r="D1433" s="1"/>
      <c r="E1433" s="1"/>
      <c r="F1433" s="1"/>
      <c r="G1433" s="1"/>
      <c r="H1433" s="3"/>
      <c r="I1433" s="1"/>
      <c r="J1433" s="1"/>
      <c r="K1433" s="1"/>
      <c r="L1433" s="1"/>
      <c r="M1433" s="1"/>
      <c r="N1433" s="1"/>
      <c r="O1433" s="1"/>
      <c r="P1433" s="1"/>
      <c r="Q1433" s="3"/>
      <c r="R1433" s="1"/>
    </row>
    <row r="1434" spans="2:18" x14ac:dyDescent="0.25">
      <c r="B1434" s="1"/>
      <c r="C1434" s="1"/>
      <c r="D1434" s="1"/>
      <c r="E1434" s="1"/>
      <c r="F1434" s="1"/>
      <c r="G1434" s="8"/>
      <c r="H1434" s="9"/>
      <c r="K1434" s="1"/>
      <c r="L1434" s="1"/>
      <c r="M1434" s="1"/>
      <c r="N1434" s="1"/>
      <c r="O1434" s="1"/>
      <c r="P1434" s="1"/>
      <c r="Q1434" s="3"/>
    </row>
    <row r="1435" spans="2:18" x14ac:dyDescent="0.25">
      <c r="B1435" s="1"/>
      <c r="C1435" s="1"/>
      <c r="D1435" s="1"/>
      <c r="E1435" s="1"/>
      <c r="F1435" s="1"/>
      <c r="G1435" s="1"/>
      <c r="H1435" s="3"/>
      <c r="I1435" s="1"/>
      <c r="J1435" s="1"/>
      <c r="K1435" s="1"/>
      <c r="L1435" s="1"/>
      <c r="M1435" s="1"/>
      <c r="N1435" s="1"/>
      <c r="O1435" s="1"/>
      <c r="P1435" s="1"/>
      <c r="Q1435" s="3"/>
      <c r="R1435" s="1"/>
    </row>
    <row r="1436" spans="2:18" x14ac:dyDescent="0.25">
      <c r="B1436" s="1"/>
      <c r="C1436" s="1"/>
      <c r="D1436" s="1"/>
      <c r="E1436" s="1"/>
      <c r="F1436" s="1"/>
      <c r="G1436" s="1"/>
      <c r="H1436" s="3"/>
      <c r="I1436" s="1"/>
      <c r="J1436" s="1"/>
      <c r="K1436" s="1"/>
      <c r="L1436" s="1"/>
      <c r="M1436" s="1"/>
      <c r="N1436" s="1"/>
      <c r="O1436" s="1"/>
      <c r="P1436" s="1"/>
      <c r="Q1436" s="3"/>
      <c r="R1436" s="1"/>
    </row>
    <row r="1437" spans="2:18" x14ac:dyDescent="0.25">
      <c r="B1437" s="1"/>
      <c r="C1437" s="1"/>
      <c r="D1437" s="1"/>
      <c r="E1437" s="1"/>
      <c r="F1437" s="1"/>
      <c r="G1437" s="1"/>
      <c r="H1437" s="3"/>
      <c r="I1437" s="1"/>
      <c r="J1437" s="1"/>
      <c r="K1437" s="1"/>
      <c r="L1437" s="1"/>
      <c r="M1437" s="1"/>
      <c r="N1437" s="1"/>
      <c r="O1437" s="1"/>
      <c r="P1437" s="1"/>
      <c r="Q1437" s="3"/>
    </row>
    <row r="1438" spans="2:18" x14ac:dyDescent="0.25">
      <c r="B1438" s="1"/>
      <c r="C1438" s="1"/>
      <c r="D1438" s="1"/>
      <c r="E1438" s="1"/>
      <c r="F1438" s="1"/>
      <c r="G1438" s="8"/>
      <c r="H1438" s="9"/>
      <c r="K1438" s="1"/>
      <c r="L1438" s="1"/>
      <c r="M1438" s="1"/>
      <c r="N1438" s="1"/>
      <c r="O1438" s="1"/>
      <c r="P1438" s="1"/>
      <c r="Q1438" s="3"/>
    </row>
    <row r="1439" spans="2:18" x14ac:dyDescent="0.25">
      <c r="B1439" s="1"/>
      <c r="C1439" s="1"/>
      <c r="D1439" s="1"/>
      <c r="E1439" s="1"/>
      <c r="F1439" s="1"/>
      <c r="G1439" s="1"/>
      <c r="H1439" s="3"/>
      <c r="K1439" s="1"/>
      <c r="L1439" s="1"/>
      <c r="M1439" s="1"/>
      <c r="N1439" s="1"/>
      <c r="O1439" s="1"/>
      <c r="P1439" s="1"/>
      <c r="Q1439" s="3"/>
    </row>
    <row r="1440" spans="2:18" x14ac:dyDescent="0.25">
      <c r="B1440" s="1"/>
      <c r="C1440" s="1"/>
      <c r="D1440" s="1"/>
      <c r="E1440" s="1"/>
      <c r="F1440" s="1"/>
      <c r="G1440" s="1"/>
      <c r="H1440" s="3"/>
      <c r="K1440" s="1"/>
      <c r="L1440" s="1"/>
      <c r="M1440" s="1"/>
      <c r="N1440" s="1"/>
      <c r="O1440" s="1"/>
      <c r="P1440" s="1"/>
      <c r="Q1440" s="3"/>
    </row>
    <row r="1441" spans="1:17" x14ac:dyDescent="0.25">
      <c r="B1441" s="1"/>
      <c r="C1441" s="1"/>
      <c r="D1441" s="1"/>
      <c r="E1441" s="1"/>
      <c r="F1441" s="1"/>
      <c r="G1441" s="1"/>
      <c r="H1441" s="3"/>
      <c r="K1441" s="1"/>
      <c r="L1441" s="1"/>
      <c r="M1441" s="1"/>
      <c r="N1441" s="1"/>
      <c r="O1441" s="1"/>
      <c r="P1441" s="1"/>
      <c r="Q1441" s="3"/>
    </row>
    <row r="1442" spans="1:17" x14ac:dyDescent="0.25">
      <c r="B1442" s="1"/>
      <c r="C1442" s="1"/>
      <c r="D1442" s="1"/>
      <c r="E1442" s="1"/>
      <c r="F1442" s="1"/>
      <c r="G1442" s="1"/>
      <c r="H1442" s="3"/>
      <c r="I1442" s="1"/>
      <c r="J1442" s="1"/>
      <c r="K1442" s="1"/>
      <c r="L1442" s="1"/>
      <c r="M1442" s="1"/>
      <c r="N1442" s="1"/>
      <c r="O1442" s="1"/>
      <c r="P1442" s="1"/>
      <c r="Q1442" s="3"/>
    </row>
    <row r="1443" spans="1:17" x14ac:dyDescent="0.25">
      <c r="B1443" s="1"/>
      <c r="C1443" s="1"/>
      <c r="D1443" s="1"/>
      <c r="E1443" s="1"/>
      <c r="F1443" s="1"/>
      <c r="G1443" s="1"/>
      <c r="H1443" s="3"/>
      <c r="K1443" s="1"/>
      <c r="L1443" s="1"/>
      <c r="M1443" s="1"/>
      <c r="N1443" s="1"/>
      <c r="O1443" s="1"/>
      <c r="P1443" s="1"/>
      <c r="Q1443" s="3"/>
    </row>
    <row r="1444" spans="1:17" x14ac:dyDescent="0.25">
      <c r="B1444" s="1"/>
      <c r="C1444" s="1"/>
      <c r="D1444" s="1"/>
      <c r="E1444" s="1"/>
      <c r="F1444" s="1"/>
      <c r="G1444" s="1"/>
      <c r="H1444" s="3"/>
      <c r="K1444" s="1"/>
      <c r="L1444" s="1"/>
      <c r="M1444" s="1"/>
      <c r="N1444" s="1"/>
      <c r="O1444" s="1"/>
      <c r="P1444" s="1"/>
      <c r="Q1444" s="3"/>
    </row>
    <row r="1445" spans="1:17" x14ac:dyDescent="0.25">
      <c r="B1445" s="1"/>
      <c r="C1445" s="1"/>
      <c r="D1445" s="1"/>
      <c r="E1445" s="1"/>
      <c r="F1445" s="1"/>
      <c r="G1445" s="1"/>
      <c r="H1445" s="3"/>
      <c r="K1445" s="1"/>
      <c r="L1445" s="1"/>
      <c r="M1445" s="1"/>
      <c r="N1445" s="1"/>
      <c r="O1445" s="1"/>
      <c r="P1445" s="1"/>
      <c r="Q1445" s="3"/>
    </row>
    <row r="1446" spans="1:17" x14ac:dyDescent="0.25">
      <c r="B1446" s="1"/>
      <c r="C1446" s="1"/>
      <c r="D1446" s="1"/>
      <c r="E1446" s="1"/>
      <c r="F1446" s="1"/>
      <c r="G1446" s="1"/>
      <c r="H1446" s="3"/>
      <c r="I1446" s="1"/>
      <c r="J1446" s="1"/>
      <c r="K1446" s="1"/>
      <c r="L1446" s="1"/>
      <c r="M1446" s="1"/>
      <c r="N1446" s="1"/>
      <c r="O1446" s="1"/>
      <c r="P1446" s="1"/>
      <c r="Q1446" s="3"/>
    </row>
    <row r="1447" spans="1:17" x14ac:dyDescent="0.25">
      <c r="B1447" s="1"/>
      <c r="C1447" s="1"/>
      <c r="D1447" s="1"/>
      <c r="E1447" s="1"/>
      <c r="F1447" s="1"/>
      <c r="G1447" s="1"/>
      <c r="H1447" s="3"/>
      <c r="I1447" s="1"/>
      <c r="J1447" s="1"/>
      <c r="K1447" s="1"/>
      <c r="L1447" s="1"/>
      <c r="M1447" s="1"/>
      <c r="N1447" s="1"/>
      <c r="O1447" s="1"/>
      <c r="P1447" s="1"/>
      <c r="Q1447" s="3"/>
    </row>
    <row r="1448" spans="1:17" x14ac:dyDescent="0.25">
      <c r="B1448" s="1"/>
      <c r="C1448" s="1"/>
      <c r="D1448" s="1"/>
      <c r="E1448" s="1"/>
      <c r="F1448" s="1"/>
      <c r="G1448" s="1"/>
      <c r="H1448" s="3"/>
      <c r="K1448" s="1"/>
      <c r="L1448" s="1"/>
      <c r="M1448" s="1"/>
      <c r="N1448" s="1"/>
      <c r="O1448" s="1"/>
      <c r="P1448" s="1"/>
      <c r="Q1448" s="3"/>
    </row>
    <row r="1449" spans="1:17" x14ac:dyDescent="0.25">
      <c r="A1449" s="7"/>
      <c r="B1449" s="1"/>
      <c r="C1449" s="1"/>
      <c r="D1449" s="1"/>
      <c r="E1449" s="1"/>
      <c r="F1449" s="1"/>
      <c r="G1449" s="1"/>
      <c r="H1449" s="3"/>
      <c r="K1449" s="10"/>
      <c r="L1449" s="10"/>
      <c r="M1449" s="10"/>
      <c r="N1449" s="10"/>
      <c r="O1449" s="10"/>
      <c r="P1449" s="1"/>
      <c r="Q1449" s="3"/>
    </row>
    <row r="1450" spans="1:17" x14ac:dyDescent="0.25">
      <c r="B1450" s="1"/>
      <c r="C1450" s="1"/>
      <c r="D1450" s="1"/>
      <c r="E1450" s="1"/>
      <c r="F1450" s="1"/>
      <c r="G1450" s="1"/>
      <c r="H1450" s="3"/>
      <c r="K1450" s="1"/>
      <c r="L1450" s="1"/>
      <c r="M1450" s="1"/>
      <c r="N1450" s="1"/>
      <c r="O1450" s="1"/>
      <c r="P1450" s="1"/>
      <c r="Q1450" s="3"/>
    </row>
    <row r="1451" spans="1:17" x14ac:dyDescent="0.25">
      <c r="B1451" s="1"/>
      <c r="C1451" s="1"/>
      <c r="D1451" s="1"/>
      <c r="E1451" s="1"/>
      <c r="F1451" s="1"/>
      <c r="G1451" s="1"/>
      <c r="H1451" s="3"/>
      <c r="K1451" s="1"/>
      <c r="L1451" s="1"/>
      <c r="M1451" s="1"/>
      <c r="N1451" s="1"/>
      <c r="O1451" s="1"/>
      <c r="P1451" s="1"/>
      <c r="Q1451" s="3"/>
    </row>
    <row r="1452" spans="1:17" x14ac:dyDescent="0.25">
      <c r="B1452" s="1"/>
      <c r="C1452" s="1"/>
      <c r="D1452" s="1"/>
      <c r="E1452" s="1"/>
      <c r="F1452" s="1"/>
      <c r="G1452" s="1"/>
      <c r="H1452" s="3"/>
      <c r="I1452" s="1"/>
      <c r="J1452" s="1"/>
      <c r="K1452" s="1"/>
      <c r="L1452" s="1"/>
      <c r="M1452" s="1"/>
      <c r="N1452" s="1"/>
      <c r="O1452" s="1"/>
      <c r="P1452" s="1"/>
      <c r="Q1452" s="3"/>
    </row>
    <row r="1453" spans="1:17" x14ac:dyDescent="0.25">
      <c r="B1453" s="1"/>
      <c r="C1453" s="1"/>
      <c r="D1453" s="1"/>
      <c r="E1453" s="1"/>
      <c r="F1453" s="1"/>
      <c r="G1453" s="1"/>
      <c r="H1453" s="3"/>
      <c r="K1453" s="1"/>
      <c r="L1453" s="1"/>
      <c r="M1453" s="1"/>
      <c r="N1453" s="1"/>
      <c r="O1453" s="1"/>
      <c r="P1453" s="1"/>
      <c r="Q1453" s="3"/>
    </row>
    <row r="1454" spans="1:17" x14ac:dyDescent="0.25">
      <c r="B1454" s="1"/>
      <c r="C1454" s="1"/>
      <c r="D1454" s="1"/>
      <c r="E1454" s="1"/>
      <c r="F1454" s="1"/>
      <c r="G1454" s="1"/>
      <c r="H1454" s="3"/>
      <c r="K1454" s="1"/>
      <c r="L1454" s="1"/>
      <c r="M1454" s="1"/>
      <c r="N1454" s="1"/>
      <c r="O1454" s="1"/>
      <c r="P1454" s="1"/>
      <c r="Q1454" s="3"/>
    </row>
    <row r="1455" spans="1:17" x14ac:dyDescent="0.25">
      <c r="K1455" s="1"/>
      <c r="L1455" s="1"/>
      <c r="M1455" s="1"/>
      <c r="N1455" s="1"/>
      <c r="O1455" s="1"/>
      <c r="P1455" s="1"/>
      <c r="Q1455" s="3"/>
    </row>
    <row r="1456" spans="1:17" x14ac:dyDescent="0.25">
      <c r="B1456" s="1"/>
      <c r="C1456" s="1"/>
      <c r="D1456" s="1"/>
      <c r="E1456" s="1"/>
      <c r="F1456" s="1"/>
      <c r="G1456" s="1"/>
      <c r="H1456" s="3"/>
      <c r="K1456" s="1"/>
      <c r="L1456" s="1"/>
      <c r="M1456" s="1"/>
      <c r="N1456" s="1"/>
      <c r="O1456" s="1"/>
      <c r="P1456" s="1"/>
      <c r="Q1456" s="3"/>
    </row>
    <row r="1457" spans="1:18" x14ac:dyDescent="0.25">
      <c r="A1457" s="7"/>
      <c r="B1457" s="1"/>
      <c r="C1457" s="1"/>
      <c r="D1457" s="1"/>
      <c r="E1457" s="1"/>
      <c r="F1457" s="1"/>
      <c r="G1457" s="1"/>
      <c r="H1457" s="3"/>
      <c r="K1457" s="10"/>
      <c r="L1457" s="10"/>
      <c r="M1457" s="10"/>
      <c r="N1457" s="10"/>
      <c r="O1457" s="10"/>
      <c r="P1457" s="1"/>
      <c r="Q1457" s="3"/>
    </row>
    <row r="1458" spans="1:18" x14ac:dyDescent="0.25">
      <c r="B1458" s="1"/>
      <c r="C1458" s="1"/>
      <c r="D1458" s="1"/>
      <c r="E1458" s="1"/>
      <c r="F1458" s="1"/>
      <c r="G1458" s="1"/>
      <c r="H1458" s="3"/>
      <c r="K1458" s="1"/>
      <c r="L1458" s="1"/>
      <c r="M1458" s="1"/>
      <c r="N1458" s="1"/>
      <c r="O1458" s="1"/>
      <c r="P1458" s="1"/>
      <c r="Q1458" s="3"/>
    </row>
    <row r="1459" spans="1:18" x14ac:dyDescent="0.25">
      <c r="B1459" s="1"/>
      <c r="C1459" s="1"/>
      <c r="D1459" s="1"/>
      <c r="E1459" s="1"/>
      <c r="F1459" s="1"/>
      <c r="G1459" s="1"/>
      <c r="H1459" s="3"/>
      <c r="K1459" s="1"/>
      <c r="L1459" s="1"/>
      <c r="M1459" s="1"/>
      <c r="N1459" s="1"/>
      <c r="O1459" s="1"/>
      <c r="P1459" s="1"/>
      <c r="Q1459" s="3"/>
    </row>
    <row r="1460" spans="1:18" x14ac:dyDescent="0.25">
      <c r="K1460" s="1"/>
      <c r="L1460" s="1"/>
      <c r="M1460" s="1"/>
      <c r="N1460" s="1"/>
      <c r="O1460" s="1"/>
      <c r="P1460" s="1"/>
      <c r="Q1460" s="3"/>
    </row>
    <row r="1461" spans="1:18" x14ac:dyDescent="0.25">
      <c r="B1461" s="1"/>
      <c r="C1461" s="1"/>
      <c r="D1461" s="1"/>
      <c r="E1461" s="1"/>
      <c r="F1461" s="1"/>
      <c r="G1461" s="1"/>
      <c r="H1461" s="3"/>
      <c r="K1461" s="1"/>
      <c r="L1461" s="1"/>
      <c r="M1461" s="1"/>
      <c r="N1461" s="1"/>
      <c r="O1461" s="1"/>
      <c r="P1461" s="1"/>
      <c r="Q1461" s="3"/>
    </row>
    <row r="1462" spans="1:18" x14ac:dyDescent="0.25">
      <c r="B1462" s="1"/>
      <c r="C1462" s="1"/>
      <c r="D1462" s="1"/>
      <c r="E1462" s="1"/>
      <c r="F1462" s="1"/>
      <c r="G1462" s="1"/>
      <c r="H1462" s="3"/>
      <c r="K1462" s="1"/>
      <c r="L1462" s="1"/>
      <c r="M1462" s="1"/>
      <c r="N1462" s="1"/>
      <c r="O1462" s="1"/>
      <c r="P1462" s="1"/>
      <c r="Q1462" s="3"/>
    </row>
    <row r="1463" spans="1:18" x14ac:dyDescent="0.25">
      <c r="B1463" s="1"/>
      <c r="C1463" s="1"/>
      <c r="D1463" s="1"/>
      <c r="E1463" s="1"/>
      <c r="F1463" s="1"/>
      <c r="G1463" s="1"/>
      <c r="H1463" s="3"/>
      <c r="I1463" s="1"/>
      <c r="J1463" s="1"/>
      <c r="K1463" s="1"/>
      <c r="L1463" s="1"/>
      <c r="M1463" s="1"/>
      <c r="N1463" s="1"/>
      <c r="O1463" s="1"/>
      <c r="P1463" s="1"/>
      <c r="Q1463" s="3"/>
      <c r="R1463" s="1"/>
    </row>
    <row r="1464" spans="1:18" x14ac:dyDescent="0.25">
      <c r="B1464" s="1"/>
      <c r="C1464" s="1"/>
      <c r="D1464" s="1"/>
      <c r="E1464" s="1"/>
      <c r="F1464" s="1"/>
      <c r="G1464" s="1"/>
      <c r="H1464" s="3"/>
      <c r="K1464" s="1"/>
      <c r="L1464" s="1"/>
      <c r="M1464" s="1"/>
      <c r="N1464" s="1"/>
      <c r="O1464" s="1"/>
      <c r="P1464" s="1"/>
      <c r="Q1464" s="3"/>
    </row>
    <row r="1465" spans="1:18" x14ac:dyDescent="0.25">
      <c r="B1465" s="1"/>
      <c r="C1465" s="1"/>
      <c r="D1465" s="1"/>
      <c r="E1465" s="1"/>
      <c r="F1465" s="1"/>
      <c r="G1465" s="1"/>
      <c r="H1465" s="3"/>
      <c r="K1465" s="1"/>
      <c r="L1465" s="1"/>
      <c r="M1465" s="1"/>
      <c r="N1465" s="1"/>
      <c r="O1465" s="1"/>
      <c r="P1465" s="1"/>
      <c r="Q1465" s="3"/>
    </row>
    <row r="1466" spans="1:18" x14ac:dyDescent="0.25">
      <c r="B1466" s="1"/>
      <c r="C1466" s="1"/>
      <c r="D1466" s="1"/>
      <c r="E1466" s="1"/>
      <c r="F1466" s="1"/>
      <c r="G1466" s="1"/>
      <c r="H1466" s="3"/>
      <c r="K1466" s="1"/>
      <c r="L1466" s="1"/>
      <c r="M1466" s="1"/>
      <c r="N1466" s="1"/>
      <c r="O1466" s="1"/>
      <c r="P1466" s="1"/>
      <c r="Q1466" s="3"/>
    </row>
    <row r="1467" spans="1:18" x14ac:dyDescent="0.25">
      <c r="B1467" s="1"/>
      <c r="C1467" s="1"/>
      <c r="D1467" s="1"/>
      <c r="E1467" s="1"/>
      <c r="F1467" s="1"/>
      <c r="G1467" s="1"/>
      <c r="H1467" s="3"/>
      <c r="K1467" s="1"/>
      <c r="L1467" s="1"/>
      <c r="M1467" s="1"/>
      <c r="N1467" s="1"/>
      <c r="O1467" s="1"/>
      <c r="P1467" s="1"/>
      <c r="Q1467" s="3"/>
    </row>
    <row r="1468" spans="1:18" x14ac:dyDescent="0.25">
      <c r="B1468" s="1"/>
      <c r="C1468" s="1"/>
      <c r="D1468" s="1"/>
      <c r="E1468" s="1"/>
      <c r="F1468" s="1"/>
      <c r="G1468" s="1"/>
      <c r="H1468" s="3"/>
      <c r="I1468" s="1"/>
      <c r="J1468" s="1"/>
      <c r="K1468" s="1"/>
      <c r="L1468" s="1"/>
      <c r="M1468" s="1"/>
      <c r="N1468" s="1"/>
      <c r="O1468" s="1"/>
      <c r="P1468" s="1"/>
      <c r="Q1468" s="3"/>
    </row>
    <row r="1469" spans="1:18" x14ac:dyDescent="0.25">
      <c r="B1469" s="1"/>
      <c r="C1469" s="1"/>
      <c r="D1469" s="1"/>
      <c r="E1469" s="1"/>
      <c r="F1469" s="1"/>
      <c r="G1469" s="1"/>
      <c r="H1469" s="3"/>
      <c r="I1469" s="1"/>
      <c r="J1469" s="1"/>
      <c r="K1469" s="1"/>
      <c r="L1469" s="1"/>
      <c r="M1469" s="1"/>
      <c r="N1469" s="1"/>
      <c r="O1469" s="1"/>
      <c r="P1469" s="1"/>
      <c r="Q1469" s="3"/>
    </row>
    <row r="1470" spans="1:18" x14ac:dyDescent="0.25">
      <c r="B1470" s="1"/>
      <c r="C1470" s="1"/>
      <c r="D1470" s="1"/>
      <c r="E1470" s="1"/>
      <c r="F1470" s="1"/>
      <c r="G1470" s="1"/>
      <c r="H1470" s="3"/>
      <c r="I1470" s="1"/>
      <c r="J1470" s="1"/>
      <c r="K1470" s="1"/>
      <c r="L1470" s="1"/>
      <c r="M1470" s="1"/>
      <c r="N1470" s="1"/>
      <c r="O1470" s="1"/>
      <c r="P1470" s="1"/>
      <c r="Q1470" s="3"/>
    </row>
    <row r="1471" spans="1:18" x14ac:dyDescent="0.25">
      <c r="A1471" s="7"/>
      <c r="B1471" s="1"/>
      <c r="C1471" s="1"/>
      <c r="D1471" s="1"/>
      <c r="E1471" s="1"/>
      <c r="F1471" s="1"/>
      <c r="G1471" s="1"/>
      <c r="H1471" s="3"/>
      <c r="K1471" s="10"/>
      <c r="L1471" s="10"/>
      <c r="M1471" s="10"/>
      <c r="N1471" s="10"/>
      <c r="O1471" s="10"/>
      <c r="P1471" s="1"/>
      <c r="Q1471" s="3"/>
    </row>
    <row r="1472" spans="1:18" x14ac:dyDescent="0.25">
      <c r="B1472" s="1"/>
      <c r="C1472" s="1"/>
      <c r="D1472" s="1"/>
      <c r="E1472" s="1"/>
      <c r="F1472" s="1"/>
      <c r="G1472" s="1"/>
      <c r="H1472" s="3"/>
      <c r="I1472" s="1"/>
      <c r="J1472" s="1"/>
      <c r="K1472" s="1"/>
      <c r="L1472" s="1"/>
      <c r="M1472" s="1"/>
      <c r="N1472" s="1"/>
      <c r="O1472" s="1"/>
      <c r="P1472" s="1"/>
      <c r="Q1472" s="3"/>
    </row>
    <row r="1473" spans="1:18" x14ac:dyDescent="0.25">
      <c r="B1473" s="1"/>
      <c r="C1473" s="1"/>
      <c r="D1473" s="1"/>
      <c r="E1473" s="1"/>
      <c r="F1473" s="1"/>
      <c r="G1473" s="1"/>
      <c r="H1473" s="3"/>
      <c r="K1473" s="1"/>
      <c r="L1473" s="1"/>
      <c r="M1473" s="1"/>
      <c r="N1473" s="1"/>
      <c r="O1473" s="1"/>
      <c r="P1473" s="1"/>
      <c r="Q1473" s="3"/>
    </row>
    <row r="1474" spans="1:18" x14ac:dyDescent="0.25">
      <c r="A1474" s="7"/>
      <c r="B1474" s="1"/>
      <c r="C1474" s="1"/>
      <c r="D1474" s="1"/>
      <c r="E1474" s="1"/>
      <c r="F1474" s="1"/>
      <c r="G1474" s="1"/>
      <c r="H1474" s="3"/>
      <c r="K1474" s="10"/>
      <c r="L1474" s="10"/>
      <c r="M1474" s="10"/>
      <c r="N1474" s="10"/>
      <c r="O1474" s="10"/>
      <c r="P1474" s="1"/>
      <c r="Q1474" s="3"/>
    </row>
    <row r="1475" spans="1:18" x14ac:dyDescent="0.25">
      <c r="B1475" s="1"/>
      <c r="C1475" s="1"/>
      <c r="D1475" s="1"/>
      <c r="E1475" s="1"/>
      <c r="F1475" s="1"/>
      <c r="G1475" s="1"/>
      <c r="H1475" s="3"/>
      <c r="K1475" s="1"/>
      <c r="L1475" s="1"/>
      <c r="M1475" s="1"/>
      <c r="N1475" s="1"/>
      <c r="O1475" s="1"/>
      <c r="P1475" s="1"/>
      <c r="Q1475" s="3"/>
    </row>
    <row r="1476" spans="1:18" x14ac:dyDescent="0.25">
      <c r="B1476" s="1"/>
      <c r="C1476" s="1"/>
      <c r="D1476" s="1"/>
      <c r="E1476" s="1"/>
      <c r="F1476" s="1"/>
      <c r="G1476" s="1"/>
      <c r="H1476" s="3"/>
      <c r="K1476" s="1"/>
      <c r="L1476" s="1"/>
      <c r="M1476" s="1"/>
      <c r="N1476" s="1"/>
      <c r="O1476" s="1"/>
      <c r="P1476" s="1"/>
      <c r="Q1476" s="3"/>
    </row>
    <row r="1477" spans="1:18" x14ac:dyDescent="0.25">
      <c r="B1477" s="1"/>
      <c r="C1477" s="1"/>
      <c r="D1477" s="1"/>
      <c r="E1477" s="1"/>
      <c r="F1477" s="1"/>
      <c r="G1477" s="1"/>
      <c r="H1477" s="3"/>
      <c r="K1477" s="1"/>
      <c r="L1477" s="1"/>
      <c r="M1477" s="1"/>
      <c r="N1477" s="1"/>
      <c r="O1477" s="1"/>
      <c r="P1477" s="1"/>
      <c r="Q1477" s="3"/>
    </row>
    <row r="1478" spans="1:18" x14ac:dyDescent="0.25">
      <c r="B1478" s="1"/>
      <c r="C1478" s="1"/>
      <c r="D1478" s="1"/>
      <c r="E1478" s="1"/>
      <c r="F1478" s="1"/>
      <c r="G1478" s="1"/>
      <c r="H1478" s="3"/>
      <c r="I1478" s="1"/>
      <c r="J1478" s="1"/>
      <c r="K1478" s="1"/>
      <c r="L1478" s="1"/>
      <c r="M1478" s="1"/>
      <c r="N1478" s="1"/>
      <c r="O1478" s="1"/>
      <c r="P1478" s="1"/>
      <c r="Q1478" s="3"/>
    </row>
    <row r="1479" spans="1:18" x14ac:dyDescent="0.25">
      <c r="B1479" s="1"/>
      <c r="C1479" s="1"/>
      <c r="D1479" s="1"/>
      <c r="E1479" s="1"/>
      <c r="F1479" s="1"/>
      <c r="G1479" s="1"/>
      <c r="H1479" s="3"/>
      <c r="K1479" s="1"/>
      <c r="L1479" s="1"/>
      <c r="M1479" s="1"/>
      <c r="N1479" s="1"/>
      <c r="O1479" s="1"/>
      <c r="P1479" s="1"/>
      <c r="Q1479" s="3"/>
    </row>
    <row r="1480" spans="1:18" x14ac:dyDescent="0.25">
      <c r="B1480" s="1"/>
      <c r="C1480" s="1"/>
      <c r="D1480" s="1"/>
      <c r="E1480" s="1"/>
      <c r="F1480" s="1"/>
      <c r="G1480" s="1"/>
      <c r="H1480" s="3"/>
      <c r="K1480" s="1"/>
      <c r="L1480" s="1"/>
      <c r="M1480" s="1"/>
      <c r="N1480" s="1"/>
      <c r="O1480" s="1"/>
      <c r="P1480" s="1"/>
      <c r="Q1480" s="3"/>
    </row>
    <row r="1481" spans="1:18" x14ac:dyDescent="0.25">
      <c r="B1481" s="1"/>
      <c r="C1481" s="1"/>
      <c r="D1481" s="1"/>
      <c r="E1481" s="1"/>
      <c r="F1481" s="1"/>
      <c r="G1481" s="1"/>
      <c r="H1481" s="3"/>
      <c r="K1481" s="1"/>
      <c r="L1481" s="1"/>
      <c r="M1481" s="1"/>
      <c r="N1481" s="1"/>
      <c r="O1481" s="1"/>
      <c r="P1481" s="1"/>
      <c r="Q1481" s="3"/>
    </row>
    <row r="1482" spans="1:18" x14ac:dyDescent="0.25">
      <c r="B1482" s="1"/>
      <c r="C1482" s="1"/>
      <c r="D1482" s="1"/>
      <c r="E1482" s="1"/>
      <c r="F1482" s="1"/>
      <c r="G1482" s="1"/>
      <c r="H1482" s="3"/>
      <c r="I1482" s="1"/>
      <c r="J1482" s="1"/>
      <c r="K1482" s="1"/>
      <c r="L1482" s="1"/>
      <c r="M1482" s="1"/>
      <c r="N1482" s="1"/>
      <c r="O1482" s="1"/>
      <c r="P1482" s="1"/>
      <c r="Q1482" s="3"/>
    </row>
    <row r="1483" spans="1:18" x14ac:dyDescent="0.25">
      <c r="B1483" s="1"/>
      <c r="C1483" s="1"/>
      <c r="D1483" s="1"/>
      <c r="E1483" s="1"/>
      <c r="F1483" s="1"/>
      <c r="G1483" s="1"/>
      <c r="H1483" s="3"/>
      <c r="I1483" s="1"/>
      <c r="J1483" s="1"/>
      <c r="K1483" s="1"/>
      <c r="L1483" s="1"/>
      <c r="M1483" s="1"/>
      <c r="N1483" s="1"/>
      <c r="O1483" s="1"/>
      <c r="P1483" s="1"/>
      <c r="Q1483" s="3"/>
      <c r="R1483" s="1"/>
    </row>
    <row r="1484" spans="1:18" x14ac:dyDescent="0.25">
      <c r="K1484" s="1"/>
      <c r="L1484" s="1"/>
      <c r="M1484" s="1"/>
      <c r="N1484" s="1"/>
      <c r="O1484" s="1"/>
      <c r="P1484" s="1"/>
      <c r="Q1484" s="3"/>
    </row>
    <row r="1485" spans="1:18" x14ac:dyDescent="0.25">
      <c r="B1485" s="1"/>
      <c r="C1485" s="1"/>
      <c r="D1485" s="1"/>
      <c r="E1485" s="1"/>
      <c r="F1485" s="1"/>
      <c r="G1485" s="1"/>
      <c r="H1485" s="3"/>
      <c r="K1485" s="1"/>
      <c r="L1485" s="1"/>
      <c r="M1485" s="1"/>
      <c r="N1485" s="1"/>
      <c r="O1485" s="1"/>
      <c r="P1485" s="1"/>
      <c r="Q1485" s="3"/>
    </row>
    <row r="1486" spans="1:18" x14ac:dyDescent="0.25">
      <c r="B1486" s="1"/>
      <c r="C1486" s="1"/>
      <c r="D1486" s="1"/>
      <c r="E1486" s="1"/>
      <c r="F1486" s="1"/>
      <c r="G1486" s="1"/>
      <c r="H1486" s="3"/>
      <c r="K1486" s="1"/>
      <c r="L1486" s="1"/>
      <c r="M1486" s="1"/>
      <c r="N1486" s="1"/>
      <c r="O1486" s="1"/>
      <c r="P1486" s="1"/>
      <c r="Q1486" s="3"/>
    </row>
    <row r="1487" spans="1:18" x14ac:dyDescent="0.25">
      <c r="B1487" s="1"/>
      <c r="C1487" s="1"/>
      <c r="D1487" s="1"/>
      <c r="E1487" s="1"/>
      <c r="F1487" s="1"/>
      <c r="G1487" s="1"/>
      <c r="H1487" s="3"/>
      <c r="I1487" s="1"/>
      <c r="J1487" s="1"/>
      <c r="K1487" s="1"/>
      <c r="L1487" s="1"/>
      <c r="M1487" s="1"/>
      <c r="N1487" s="1"/>
      <c r="O1487" s="1"/>
      <c r="P1487" s="1"/>
      <c r="Q1487" s="3"/>
    </row>
    <row r="1488" spans="1:18" x14ac:dyDescent="0.25">
      <c r="B1488" s="1"/>
      <c r="C1488" s="1"/>
      <c r="D1488" s="1"/>
      <c r="E1488" s="1"/>
      <c r="F1488" s="1"/>
      <c r="G1488" s="1"/>
      <c r="H1488" s="3"/>
      <c r="K1488" s="1"/>
      <c r="L1488" s="1"/>
      <c r="M1488" s="1"/>
      <c r="N1488" s="1"/>
      <c r="O1488" s="1"/>
      <c r="P1488" s="1"/>
      <c r="Q1488" s="3"/>
    </row>
    <row r="1489" spans="1:17" x14ac:dyDescent="0.25">
      <c r="B1489" s="1"/>
      <c r="C1489" s="1"/>
      <c r="D1489" s="1"/>
      <c r="E1489" s="1"/>
      <c r="F1489" s="1"/>
      <c r="G1489" s="1"/>
      <c r="H1489" s="3"/>
      <c r="K1489" s="1"/>
      <c r="L1489" s="1"/>
      <c r="M1489" s="1"/>
      <c r="N1489" s="1"/>
      <c r="O1489" s="1"/>
      <c r="P1489" s="1"/>
      <c r="Q1489" s="3"/>
    </row>
    <row r="1490" spans="1:17" x14ac:dyDescent="0.25">
      <c r="B1490" s="1"/>
      <c r="C1490" s="1"/>
      <c r="D1490" s="1"/>
      <c r="E1490" s="1"/>
      <c r="F1490" s="1"/>
      <c r="G1490" s="1"/>
      <c r="H1490" s="3"/>
      <c r="K1490" s="1"/>
      <c r="L1490" s="1"/>
      <c r="M1490" s="1"/>
      <c r="N1490" s="1"/>
      <c r="O1490" s="1"/>
      <c r="P1490" s="1"/>
      <c r="Q1490" s="3"/>
    </row>
    <row r="1491" spans="1:17" x14ac:dyDescent="0.25">
      <c r="B1491" s="1"/>
      <c r="C1491" s="1"/>
      <c r="D1491" s="1"/>
      <c r="E1491" s="1"/>
      <c r="F1491" s="1"/>
      <c r="G1491" s="1"/>
      <c r="H1491" s="3"/>
      <c r="K1491" s="1"/>
      <c r="L1491" s="1"/>
      <c r="M1491" s="1"/>
      <c r="N1491" s="1"/>
      <c r="O1491" s="1"/>
      <c r="P1491" s="1"/>
      <c r="Q1491" s="3"/>
    </row>
    <row r="1492" spans="1:17" x14ac:dyDescent="0.25">
      <c r="A1492" s="7"/>
      <c r="B1492" s="1"/>
      <c r="C1492" s="1"/>
      <c r="D1492" s="1"/>
      <c r="E1492" s="1"/>
      <c r="F1492" s="1"/>
      <c r="G1492" s="1"/>
      <c r="H1492" s="3"/>
      <c r="K1492" s="10"/>
      <c r="L1492" s="10"/>
      <c r="M1492" s="10"/>
      <c r="N1492" s="10"/>
      <c r="O1492" s="10"/>
      <c r="P1492" s="1"/>
      <c r="Q1492" s="3"/>
    </row>
    <row r="1493" spans="1:17" x14ac:dyDescent="0.25">
      <c r="B1493" s="1"/>
      <c r="C1493" s="1"/>
      <c r="D1493" s="1"/>
      <c r="E1493" s="1"/>
      <c r="F1493" s="1"/>
      <c r="G1493" s="1"/>
      <c r="H1493" s="3"/>
      <c r="K1493" s="1"/>
      <c r="L1493" s="1"/>
      <c r="M1493" s="1"/>
      <c r="N1493" s="1"/>
      <c r="O1493" s="1"/>
      <c r="P1493" s="1"/>
      <c r="Q1493" s="3"/>
    </row>
    <row r="1494" spans="1:17" x14ac:dyDescent="0.25">
      <c r="B1494" s="1"/>
      <c r="C1494" s="1"/>
      <c r="D1494" s="1"/>
      <c r="E1494" s="1"/>
      <c r="F1494" s="1"/>
      <c r="G1494" s="1"/>
      <c r="H1494" s="3"/>
      <c r="K1494" s="1"/>
      <c r="L1494" s="1"/>
      <c r="M1494" s="1"/>
      <c r="N1494" s="1"/>
      <c r="O1494" s="1"/>
      <c r="P1494" s="1"/>
      <c r="Q1494" s="3"/>
    </row>
    <row r="1495" spans="1:17" x14ac:dyDescent="0.25">
      <c r="B1495" s="1"/>
      <c r="C1495" s="1"/>
      <c r="D1495" s="1"/>
      <c r="E1495" s="1"/>
      <c r="F1495" s="1"/>
      <c r="G1495" s="1"/>
      <c r="H1495" s="3"/>
      <c r="K1495" s="1"/>
      <c r="L1495" s="1"/>
      <c r="M1495" s="1"/>
      <c r="N1495" s="1"/>
      <c r="O1495" s="1"/>
      <c r="P1495" s="1"/>
      <c r="Q1495" s="3"/>
    </row>
    <row r="1496" spans="1:17" x14ac:dyDescent="0.25">
      <c r="B1496" s="1"/>
      <c r="C1496" s="1"/>
      <c r="D1496" s="1"/>
      <c r="E1496" s="1"/>
      <c r="F1496" s="1"/>
      <c r="G1496" s="1"/>
      <c r="H1496" s="3"/>
      <c r="K1496" s="1"/>
      <c r="L1496" s="1"/>
      <c r="M1496" s="1"/>
      <c r="N1496" s="1"/>
      <c r="O1496" s="1"/>
      <c r="P1496" s="1"/>
      <c r="Q1496" s="3"/>
    </row>
    <row r="1497" spans="1:17" x14ac:dyDescent="0.25">
      <c r="A1497" s="7"/>
      <c r="B1497" s="1"/>
      <c r="C1497" s="1"/>
      <c r="D1497" s="1"/>
      <c r="E1497" s="1"/>
      <c r="F1497" s="1"/>
      <c r="G1497" s="1"/>
      <c r="H1497" s="3"/>
      <c r="K1497" s="10"/>
      <c r="L1497" s="10"/>
      <c r="M1497" s="10"/>
      <c r="N1497" s="10"/>
      <c r="O1497" s="10"/>
      <c r="P1497" s="1"/>
      <c r="Q1497" s="3"/>
    </row>
    <row r="1498" spans="1:17" x14ac:dyDescent="0.25">
      <c r="B1498" s="1"/>
      <c r="C1498" s="1"/>
      <c r="D1498" s="1"/>
      <c r="E1498" s="1"/>
      <c r="F1498" s="1"/>
      <c r="G1498" s="1"/>
      <c r="H1498" s="3"/>
      <c r="K1498" s="1"/>
      <c r="L1498" s="1"/>
      <c r="M1498" s="1"/>
      <c r="N1498" s="1"/>
      <c r="O1498" s="1"/>
      <c r="P1498" s="1"/>
      <c r="Q1498" s="3"/>
    </row>
    <row r="1499" spans="1:17" x14ac:dyDescent="0.25">
      <c r="B1499" s="1"/>
      <c r="C1499" s="1"/>
      <c r="D1499" s="1"/>
      <c r="E1499" s="1"/>
      <c r="F1499" s="1"/>
      <c r="G1499" s="1"/>
      <c r="H1499" s="3"/>
      <c r="K1499" s="1"/>
      <c r="L1499" s="1"/>
      <c r="M1499" s="1"/>
      <c r="N1499" s="1"/>
      <c r="O1499" s="1"/>
      <c r="P1499" s="1"/>
      <c r="Q1499" s="3"/>
    </row>
    <row r="1500" spans="1:17" x14ac:dyDescent="0.25">
      <c r="B1500" s="1"/>
      <c r="C1500" s="1"/>
      <c r="D1500" s="1"/>
      <c r="E1500" s="1"/>
      <c r="F1500" s="1"/>
      <c r="G1500" s="1"/>
      <c r="H1500" s="3"/>
      <c r="K1500" s="1"/>
      <c r="L1500" s="1"/>
      <c r="M1500" s="1"/>
      <c r="N1500" s="1"/>
      <c r="O1500" s="1"/>
      <c r="P1500" s="1"/>
      <c r="Q1500" s="3"/>
    </row>
    <row r="1501" spans="1:17" x14ac:dyDescent="0.25">
      <c r="K1501" s="1"/>
      <c r="L1501" s="1"/>
      <c r="M1501" s="1"/>
      <c r="N1501" s="1"/>
      <c r="O1501" s="1"/>
      <c r="P1501" s="1"/>
      <c r="Q1501" s="3"/>
    </row>
    <row r="1502" spans="1:17" x14ac:dyDescent="0.25">
      <c r="B1502" s="1"/>
      <c r="C1502" s="1"/>
      <c r="D1502" s="1"/>
      <c r="E1502" s="1"/>
      <c r="F1502" s="1"/>
      <c r="G1502" s="1"/>
      <c r="H1502" s="3"/>
      <c r="K1502" s="1"/>
      <c r="L1502" s="1"/>
      <c r="M1502" s="1"/>
      <c r="N1502" s="1"/>
      <c r="O1502" s="1"/>
      <c r="P1502" s="1"/>
      <c r="Q1502" s="3"/>
    </row>
    <row r="1503" spans="1:17" x14ac:dyDescent="0.25">
      <c r="B1503" s="1"/>
      <c r="C1503" s="1"/>
      <c r="D1503" s="1"/>
      <c r="E1503" s="1"/>
      <c r="F1503" s="1"/>
      <c r="G1503" s="1"/>
      <c r="H1503" s="3"/>
      <c r="K1503" s="1"/>
      <c r="L1503" s="1"/>
      <c r="M1503" s="1"/>
      <c r="N1503" s="1"/>
      <c r="O1503" s="1"/>
      <c r="P1503" s="1"/>
      <c r="Q1503" s="3"/>
    </row>
    <row r="1504" spans="1:17" x14ac:dyDescent="0.25">
      <c r="B1504" s="1"/>
      <c r="C1504" s="1"/>
      <c r="D1504" s="1"/>
      <c r="E1504" s="1"/>
      <c r="F1504" s="1"/>
      <c r="G1504" s="1"/>
      <c r="H1504" s="3"/>
      <c r="K1504" s="1"/>
      <c r="L1504" s="1"/>
      <c r="M1504" s="1"/>
      <c r="N1504" s="1"/>
      <c r="O1504" s="1"/>
      <c r="P1504" s="1"/>
      <c r="Q1504" s="3"/>
    </row>
    <row r="1505" spans="1:18" x14ac:dyDescent="0.25">
      <c r="B1505" s="1"/>
      <c r="C1505" s="1"/>
      <c r="D1505" s="1"/>
      <c r="E1505" s="1"/>
      <c r="F1505" s="1"/>
      <c r="G1505" s="1"/>
      <c r="H1505" s="3"/>
      <c r="K1505" s="1"/>
      <c r="L1505" s="1"/>
      <c r="M1505" s="1"/>
      <c r="N1505" s="1"/>
      <c r="O1505" s="1"/>
      <c r="P1505" s="1"/>
      <c r="Q1505" s="3"/>
    </row>
    <row r="1506" spans="1:18" x14ac:dyDescent="0.25">
      <c r="B1506" s="1"/>
      <c r="C1506" s="1"/>
      <c r="D1506" s="1"/>
      <c r="E1506" s="1"/>
      <c r="F1506" s="1"/>
      <c r="G1506" s="1"/>
      <c r="H1506" s="3"/>
      <c r="I1506" s="1"/>
      <c r="J1506" s="1"/>
      <c r="K1506" s="1"/>
      <c r="L1506" s="1"/>
      <c r="M1506" s="1"/>
      <c r="N1506" s="1"/>
      <c r="O1506" s="1"/>
      <c r="P1506" s="1"/>
      <c r="Q1506" s="3"/>
    </row>
    <row r="1507" spans="1:18" x14ac:dyDescent="0.25">
      <c r="B1507" s="1"/>
      <c r="C1507" s="1"/>
      <c r="D1507" s="1"/>
      <c r="E1507" s="1"/>
      <c r="F1507" s="1"/>
      <c r="G1507" s="1"/>
      <c r="H1507" s="3"/>
      <c r="K1507" s="1"/>
      <c r="L1507" s="1"/>
      <c r="M1507" s="1"/>
      <c r="N1507" s="1"/>
      <c r="O1507" s="1"/>
      <c r="P1507" s="1"/>
      <c r="Q1507" s="3"/>
    </row>
    <row r="1508" spans="1:18" x14ac:dyDescent="0.25">
      <c r="B1508" s="1"/>
      <c r="C1508" s="1"/>
      <c r="D1508" s="1"/>
      <c r="E1508" s="1"/>
      <c r="F1508" s="1"/>
      <c r="G1508" s="1"/>
      <c r="H1508" s="3"/>
      <c r="K1508" s="1"/>
      <c r="L1508" s="1"/>
      <c r="M1508" s="1"/>
      <c r="N1508" s="1"/>
      <c r="O1508" s="1"/>
      <c r="P1508" s="1"/>
      <c r="Q1508" s="3"/>
    </row>
    <row r="1509" spans="1:18" x14ac:dyDescent="0.25">
      <c r="B1509" s="1"/>
      <c r="C1509" s="1"/>
      <c r="D1509" s="1"/>
      <c r="E1509" s="1"/>
      <c r="F1509" s="1"/>
      <c r="G1509" s="1"/>
      <c r="H1509" s="3"/>
      <c r="I1509" s="1"/>
      <c r="J1509" s="1"/>
      <c r="K1509" s="1"/>
      <c r="L1509" s="1"/>
      <c r="M1509" s="1"/>
      <c r="N1509" s="1"/>
      <c r="O1509" s="1"/>
      <c r="P1509" s="1"/>
      <c r="Q1509" s="3"/>
    </row>
    <row r="1510" spans="1:18" x14ac:dyDescent="0.25">
      <c r="B1510" s="1"/>
      <c r="C1510" s="1"/>
      <c r="D1510" s="1"/>
      <c r="E1510" s="1"/>
      <c r="F1510" s="1"/>
      <c r="G1510" s="1"/>
      <c r="H1510" s="3"/>
      <c r="I1510" s="1"/>
      <c r="J1510" s="1"/>
      <c r="K1510" s="1"/>
      <c r="L1510" s="1"/>
      <c r="M1510" s="1"/>
      <c r="N1510" s="1"/>
      <c r="O1510" s="1"/>
      <c r="P1510" s="1"/>
      <c r="Q1510" s="3"/>
      <c r="R1510" s="1"/>
    </row>
    <row r="1511" spans="1:18" x14ac:dyDescent="0.25">
      <c r="B1511" s="1"/>
      <c r="C1511" s="1"/>
      <c r="D1511" s="1"/>
      <c r="E1511" s="1"/>
      <c r="F1511" s="1"/>
      <c r="G1511" s="1"/>
      <c r="H1511" s="3"/>
      <c r="K1511" s="1"/>
      <c r="L1511" s="1"/>
      <c r="M1511" s="1"/>
      <c r="N1511" s="1"/>
      <c r="O1511" s="1"/>
      <c r="P1511" s="1"/>
      <c r="Q1511" s="3"/>
    </row>
    <row r="1512" spans="1:18" x14ac:dyDescent="0.25">
      <c r="K1512" s="1"/>
      <c r="L1512" s="1"/>
      <c r="M1512" s="1"/>
      <c r="N1512" s="1"/>
      <c r="O1512" s="1"/>
      <c r="P1512" s="1"/>
      <c r="Q1512" s="3"/>
    </row>
    <row r="1513" spans="1:18" x14ac:dyDescent="0.25">
      <c r="B1513" s="1"/>
      <c r="C1513" s="1"/>
      <c r="D1513" s="1"/>
      <c r="E1513" s="1"/>
      <c r="F1513" s="1"/>
      <c r="G1513" s="1"/>
      <c r="H1513" s="3"/>
      <c r="K1513" s="1"/>
      <c r="L1513" s="1"/>
      <c r="M1513" s="1"/>
      <c r="N1513" s="1"/>
      <c r="O1513" s="1"/>
      <c r="P1513" s="1"/>
      <c r="Q1513" s="3"/>
    </row>
    <row r="1514" spans="1:18" x14ac:dyDescent="0.25">
      <c r="B1514" s="1"/>
      <c r="C1514" s="1"/>
      <c r="D1514" s="1"/>
      <c r="E1514" s="1"/>
      <c r="F1514" s="1"/>
      <c r="G1514" s="1"/>
      <c r="H1514" s="3"/>
      <c r="K1514" s="1"/>
      <c r="L1514" s="1"/>
      <c r="M1514" s="1"/>
      <c r="N1514" s="1"/>
      <c r="O1514" s="1"/>
      <c r="P1514" s="1"/>
      <c r="Q1514" s="3"/>
    </row>
    <row r="1515" spans="1:18" x14ac:dyDescent="0.25">
      <c r="K1515" s="1"/>
      <c r="L1515" s="1"/>
      <c r="M1515" s="1"/>
      <c r="N1515" s="1"/>
      <c r="O1515" s="1"/>
      <c r="P1515" s="1"/>
      <c r="Q1515" s="3"/>
    </row>
    <row r="1516" spans="1:18" x14ac:dyDescent="0.25">
      <c r="B1516" s="1"/>
      <c r="C1516" s="1"/>
      <c r="D1516" s="1"/>
      <c r="E1516" s="1"/>
      <c r="F1516" s="1"/>
      <c r="G1516" s="1"/>
      <c r="H1516" s="3"/>
      <c r="K1516" s="1"/>
      <c r="L1516" s="1"/>
      <c r="M1516" s="1"/>
      <c r="N1516" s="1"/>
      <c r="O1516" s="1"/>
      <c r="P1516" s="1"/>
      <c r="Q1516" s="3"/>
    </row>
    <row r="1517" spans="1:18" x14ac:dyDescent="0.25">
      <c r="B1517" s="1"/>
      <c r="C1517" s="1"/>
      <c r="D1517" s="1"/>
      <c r="E1517" s="1"/>
      <c r="F1517" s="1"/>
      <c r="G1517" s="8"/>
      <c r="H1517" s="9"/>
      <c r="K1517" s="1"/>
      <c r="L1517" s="1"/>
      <c r="M1517" s="1"/>
      <c r="N1517" s="1"/>
      <c r="O1517" s="1"/>
      <c r="P1517" s="1"/>
      <c r="Q1517" s="3"/>
    </row>
    <row r="1518" spans="1:18" x14ac:dyDescent="0.25">
      <c r="B1518" s="1"/>
      <c r="C1518" s="1"/>
      <c r="D1518" s="1"/>
      <c r="E1518" s="1"/>
      <c r="F1518" s="1"/>
      <c r="G1518" s="8"/>
      <c r="H1518" s="9"/>
      <c r="K1518" s="1"/>
      <c r="L1518" s="1"/>
      <c r="M1518" s="1"/>
      <c r="N1518" s="1"/>
      <c r="O1518" s="1"/>
      <c r="P1518" s="1"/>
      <c r="Q1518" s="3"/>
    </row>
    <row r="1519" spans="1:18" x14ac:dyDescent="0.25">
      <c r="K1519" s="1"/>
      <c r="L1519" s="1"/>
      <c r="M1519" s="1"/>
      <c r="N1519" s="1"/>
      <c r="O1519" s="1"/>
      <c r="P1519" s="1"/>
      <c r="Q1519" s="3"/>
    </row>
    <row r="1520" spans="1:18" x14ac:dyDescent="0.25">
      <c r="A1520" s="7"/>
      <c r="B1520" s="1"/>
      <c r="C1520" s="1"/>
      <c r="D1520" s="1"/>
      <c r="E1520" s="1"/>
      <c r="F1520" s="1"/>
      <c r="G1520" s="1"/>
      <c r="H1520" s="3"/>
      <c r="K1520" s="10"/>
      <c r="L1520" s="10"/>
      <c r="M1520" s="10"/>
      <c r="N1520" s="10"/>
      <c r="O1520" s="10"/>
      <c r="P1520" s="1"/>
      <c r="Q1520" s="3"/>
    </row>
    <row r="1521" spans="1:17" x14ac:dyDescent="0.25">
      <c r="B1521" s="1"/>
      <c r="C1521" s="1"/>
      <c r="D1521" s="1"/>
      <c r="E1521" s="1"/>
      <c r="F1521" s="1"/>
      <c r="G1521" s="1"/>
      <c r="H1521" s="3"/>
      <c r="K1521" s="1"/>
      <c r="L1521" s="1"/>
      <c r="M1521" s="1"/>
      <c r="N1521" s="1"/>
      <c r="O1521" s="1"/>
      <c r="P1521" s="1"/>
      <c r="Q1521" s="3"/>
    </row>
    <row r="1522" spans="1:17" x14ac:dyDescent="0.25">
      <c r="A1522" s="7"/>
      <c r="B1522" s="1"/>
      <c r="C1522" s="1"/>
      <c r="D1522" s="1"/>
      <c r="E1522" s="1"/>
      <c r="F1522" s="1"/>
      <c r="G1522" s="1"/>
      <c r="H1522" s="3"/>
      <c r="K1522" s="10"/>
      <c r="L1522" s="10"/>
      <c r="M1522" s="10"/>
      <c r="N1522" s="10"/>
      <c r="O1522" s="10"/>
      <c r="P1522" s="1"/>
      <c r="Q1522" s="3"/>
    </row>
    <row r="1523" spans="1:17" x14ac:dyDescent="0.25">
      <c r="B1523" s="1"/>
      <c r="C1523" s="1"/>
      <c r="D1523" s="1"/>
      <c r="E1523" s="1"/>
      <c r="F1523" s="1"/>
      <c r="G1523" s="1"/>
      <c r="H1523" s="3"/>
      <c r="K1523" s="1"/>
      <c r="L1523" s="1"/>
      <c r="M1523" s="1"/>
      <c r="N1523" s="1"/>
      <c r="O1523" s="1"/>
      <c r="P1523" s="1"/>
      <c r="Q1523" s="3"/>
    </row>
    <row r="1524" spans="1:17" x14ac:dyDescent="0.25">
      <c r="B1524" s="1"/>
      <c r="C1524" s="1"/>
      <c r="D1524" s="1"/>
      <c r="E1524" s="1"/>
      <c r="F1524" s="1"/>
      <c r="G1524" s="1"/>
      <c r="H1524" s="3"/>
      <c r="K1524" s="1"/>
      <c r="L1524" s="1"/>
      <c r="M1524" s="1"/>
      <c r="N1524" s="1"/>
      <c r="O1524" s="1"/>
      <c r="P1524" s="1"/>
      <c r="Q1524" s="3"/>
    </row>
    <row r="1525" spans="1:17" x14ac:dyDescent="0.25">
      <c r="B1525" s="1"/>
      <c r="C1525" s="1"/>
      <c r="D1525" s="1"/>
      <c r="E1525" s="1"/>
      <c r="F1525" s="1"/>
      <c r="G1525" s="1"/>
      <c r="H1525" s="3"/>
      <c r="K1525" s="1"/>
      <c r="L1525" s="1"/>
      <c r="M1525" s="1"/>
      <c r="N1525" s="1"/>
      <c r="O1525" s="1"/>
      <c r="P1525" s="1"/>
      <c r="Q1525" s="3"/>
    </row>
    <row r="1526" spans="1:17" x14ac:dyDescent="0.25">
      <c r="B1526" s="1"/>
      <c r="C1526" s="1"/>
      <c r="D1526" s="1"/>
      <c r="E1526" s="1"/>
      <c r="F1526" s="1"/>
      <c r="G1526" s="1"/>
      <c r="H1526" s="3"/>
      <c r="K1526" s="1"/>
      <c r="L1526" s="1"/>
      <c r="M1526" s="1"/>
      <c r="N1526" s="1"/>
      <c r="O1526" s="1"/>
      <c r="P1526" s="1"/>
      <c r="Q1526" s="3"/>
    </row>
    <row r="1527" spans="1:17" x14ac:dyDescent="0.25">
      <c r="B1527" s="1"/>
      <c r="C1527" s="1"/>
      <c r="D1527" s="1"/>
      <c r="E1527" s="1"/>
      <c r="F1527" s="1"/>
      <c r="G1527" s="1"/>
      <c r="H1527" s="3"/>
      <c r="K1527" s="1"/>
      <c r="L1527" s="1"/>
      <c r="M1527" s="1"/>
      <c r="N1527" s="1"/>
      <c r="O1527" s="1"/>
      <c r="P1527" s="1"/>
      <c r="Q1527" s="3"/>
    </row>
    <row r="1528" spans="1:17" x14ac:dyDescent="0.25">
      <c r="B1528" s="1"/>
      <c r="C1528" s="1"/>
      <c r="D1528" s="1"/>
      <c r="E1528" s="1"/>
      <c r="F1528" s="1"/>
      <c r="G1528" s="8"/>
      <c r="H1528" s="9"/>
      <c r="K1528" s="1"/>
      <c r="L1528" s="1"/>
      <c r="M1528" s="1"/>
      <c r="N1528" s="1"/>
      <c r="O1528" s="1"/>
      <c r="P1528" s="1"/>
      <c r="Q1528" s="3"/>
    </row>
    <row r="1529" spans="1:17" x14ac:dyDescent="0.25">
      <c r="K1529" s="1"/>
      <c r="L1529" s="1"/>
      <c r="M1529" s="1"/>
      <c r="N1529" s="1"/>
      <c r="O1529" s="1"/>
      <c r="P1529" s="1"/>
      <c r="Q1529" s="3"/>
    </row>
    <row r="1530" spans="1:17" x14ac:dyDescent="0.25">
      <c r="B1530" s="1"/>
      <c r="C1530" s="1"/>
      <c r="D1530" s="1"/>
      <c r="E1530" s="1"/>
      <c r="F1530" s="1"/>
      <c r="G1530" s="1"/>
      <c r="H1530" s="3"/>
      <c r="K1530" s="1"/>
      <c r="L1530" s="1"/>
      <c r="M1530" s="1"/>
      <c r="N1530" s="1"/>
      <c r="O1530" s="1"/>
      <c r="P1530" s="1"/>
      <c r="Q1530" s="3"/>
    </row>
    <row r="1531" spans="1:17" x14ac:dyDescent="0.25">
      <c r="B1531" s="1"/>
      <c r="C1531" s="1"/>
      <c r="D1531" s="1"/>
      <c r="E1531" s="1"/>
      <c r="F1531" s="1"/>
      <c r="G1531" s="1"/>
      <c r="H1531" s="3"/>
      <c r="I1531" s="1"/>
      <c r="J1531" s="1"/>
      <c r="K1531" s="1"/>
      <c r="L1531" s="1"/>
      <c r="M1531" s="1"/>
      <c r="N1531" s="1"/>
      <c r="O1531" s="1"/>
      <c r="P1531" s="1"/>
      <c r="Q1531" s="3"/>
    </row>
    <row r="1532" spans="1:17" x14ac:dyDescent="0.25">
      <c r="B1532" s="1"/>
      <c r="C1532" s="1"/>
      <c r="D1532" s="1"/>
      <c r="E1532" s="1"/>
      <c r="F1532" s="1"/>
      <c r="G1532" s="1"/>
      <c r="H1532" s="3"/>
      <c r="K1532" s="1"/>
      <c r="L1532" s="1"/>
      <c r="M1532" s="1"/>
      <c r="N1532" s="1"/>
      <c r="O1532" s="1"/>
      <c r="P1532" s="1"/>
      <c r="Q1532" s="3"/>
    </row>
    <row r="1533" spans="1:17" x14ac:dyDescent="0.25">
      <c r="B1533" s="1"/>
      <c r="C1533" s="1"/>
      <c r="D1533" s="1"/>
      <c r="E1533" s="1"/>
      <c r="F1533" s="1"/>
      <c r="G1533" s="1"/>
      <c r="H1533" s="3"/>
      <c r="K1533" s="1"/>
      <c r="L1533" s="1"/>
      <c r="M1533" s="1"/>
      <c r="N1533" s="1"/>
      <c r="O1533" s="1"/>
      <c r="P1533" s="1"/>
      <c r="Q1533" s="3"/>
    </row>
    <row r="1534" spans="1:17" x14ac:dyDescent="0.25">
      <c r="B1534" s="1"/>
      <c r="C1534" s="1"/>
      <c r="D1534" s="1"/>
      <c r="E1534" s="1"/>
      <c r="F1534" s="1"/>
      <c r="G1534" s="1"/>
      <c r="H1534" s="3"/>
      <c r="K1534" s="1"/>
      <c r="L1534" s="1"/>
      <c r="M1534" s="1"/>
      <c r="N1534" s="1"/>
      <c r="O1534" s="1"/>
      <c r="P1534" s="1"/>
      <c r="Q1534" s="3"/>
    </row>
    <row r="1535" spans="1:17" x14ac:dyDescent="0.25">
      <c r="B1535" s="1"/>
      <c r="C1535" s="1"/>
      <c r="D1535" s="1"/>
      <c r="E1535" s="1"/>
      <c r="F1535" s="1"/>
      <c r="G1535" s="1"/>
      <c r="H1535" s="3"/>
      <c r="K1535" s="1"/>
      <c r="L1535" s="1"/>
      <c r="M1535" s="1"/>
      <c r="N1535" s="1"/>
      <c r="O1535" s="1"/>
      <c r="P1535" s="1"/>
      <c r="Q1535" s="3"/>
    </row>
    <row r="1536" spans="1:17" x14ac:dyDescent="0.25">
      <c r="B1536" s="1"/>
      <c r="C1536" s="1"/>
      <c r="D1536" s="1"/>
      <c r="E1536" s="1"/>
      <c r="F1536" s="1"/>
      <c r="G1536" s="1"/>
      <c r="H1536" s="3"/>
      <c r="K1536" s="1"/>
      <c r="L1536" s="1"/>
      <c r="M1536" s="1"/>
      <c r="N1536" s="1"/>
      <c r="O1536" s="1"/>
      <c r="P1536" s="1"/>
      <c r="Q1536" s="3"/>
    </row>
    <row r="1537" spans="1:18" x14ac:dyDescent="0.25">
      <c r="B1537" s="1"/>
      <c r="C1537" s="1"/>
      <c r="D1537" s="1"/>
      <c r="E1537" s="1"/>
      <c r="F1537" s="1"/>
      <c r="G1537" s="1"/>
      <c r="H1537" s="3"/>
      <c r="I1537" s="1"/>
      <c r="J1537" s="1"/>
      <c r="K1537" s="1"/>
      <c r="L1537" s="1"/>
      <c r="M1537" s="1"/>
      <c r="N1537" s="1"/>
      <c r="O1537" s="1"/>
      <c r="P1537" s="1"/>
      <c r="Q1537" s="3"/>
    </row>
    <row r="1538" spans="1:18" x14ac:dyDescent="0.25">
      <c r="A1538" s="7"/>
      <c r="B1538" s="1"/>
      <c r="C1538" s="1"/>
      <c r="D1538" s="1"/>
      <c r="E1538" s="1"/>
      <c r="F1538" s="1"/>
      <c r="G1538" s="1"/>
      <c r="H1538" s="3"/>
      <c r="K1538" s="10"/>
      <c r="L1538" s="10"/>
      <c r="M1538" s="10"/>
      <c r="N1538" s="10"/>
      <c r="O1538" s="10"/>
      <c r="P1538" s="1"/>
      <c r="Q1538" s="3"/>
    </row>
    <row r="1539" spans="1:18" x14ac:dyDescent="0.25">
      <c r="B1539" s="1"/>
      <c r="C1539" s="1"/>
      <c r="D1539" s="1"/>
      <c r="E1539" s="1"/>
      <c r="F1539" s="1"/>
      <c r="G1539" s="1"/>
      <c r="H1539" s="3"/>
      <c r="I1539" s="1"/>
      <c r="J1539" s="1"/>
      <c r="K1539" s="1"/>
      <c r="L1539" s="1"/>
      <c r="M1539" s="1"/>
      <c r="N1539" s="1"/>
      <c r="O1539" s="1"/>
      <c r="P1539" s="1"/>
      <c r="Q1539" s="3"/>
      <c r="R1539" s="1"/>
    </row>
    <row r="1540" spans="1:18" x14ac:dyDescent="0.25">
      <c r="A1540" s="7"/>
      <c r="B1540" s="1"/>
      <c r="C1540" s="1"/>
      <c r="D1540" s="1"/>
      <c r="E1540" s="1"/>
      <c r="F1540" s="1"/>
      <c r="G1540" s="1"/>
      <c r="H1540" s="3"/>
      <c r="K1540" s="10"/>
      <c r="L1540" s="10"/>
      <c r="M1540" s="10"/>
      <c r="N1540" s="10"/>
      <c r="O1540" s="10"/>
      <c r="P1540" s="1"/>
      <c r="Q1540" s="3"/>
    </row>
    <row r="1541" spans="1:18" x14ac:dyDescent="0.25">
      <c r="B1541" s="1"/>
      <c r="C1541" s="1"/>
      <c r="D1541" s="1"/>
      <c r="E1541" s="1"/>
      <c r="F1541" s="1"/>
      <c r="G1541" s="1"/>
      <c r="H1541" s="3"/>
      <c r="K1541" s="1"/>
      <c r="L1541" s="1"/>
      <c r="M1541" s="1"/>
      <c r="N1541" s="1"/>
      <c r="O1541" s="1"/>
      <c r="P1541" s="1"/>
      <c r="Q1541" s="3"/>
    </row>
    <row r="1542" spans="1:18" x14ac:dyDescent="0.25">
      <c r="B1542" s="1"/>
      <c r="C1542" s="1"/>
      <c r="D1542" s="1"/>
      <c r="E1542" s="1"/>
      <c r="F1542" s="1"/>
      <c r="G1542" s="1"/>
      <c r="H1542" s="3"/>
      <c r="I1542" s="1"/>
      <c r="J1542" s="1"/>
      <c r="K1542" s="1"/>
      <c r="L1542" s="1"/>
      <c r="M1542" s="1"/>
      <c r="N1542" s="1"/>
      <c r="O1542" s="1"/>
      <c r="P1542" s="1"/>
      <c r="Q1542" s="3"/>
      <c r="R1542" s="1"/>
    </row>
    <row r="1543" spans="1:18" x14ac:dyDescent="0.25">
      <c r="A1543" s="7"/>
      <c r="B1543" s="1"/>
      <c r="C1543" s="1"/>
      <c r="D1543" s="1"/>
      <c r="E1543" s="1"/>
      <c r="F1543" s="1"/>
      <c r="G1543" s="1"/>
      <c r="H1543" s="3"/>
      <c r="K1543" s="10"/>
      <c r="L1543" s="10"/>
      <c r="M1543" s="10"/>
      <c r="N1543" s="10"/>
      <c r="O1543" s="10"/>
      <c r="P1543" s="1"/>
      <c r="Q1543" s="3"/>
    </row>
    <row r="1544" spans="1:18" x14ac:dyDescent="0.25">
      <c r="B1544" s="1"/>
      <c r="C1544" s="1"/>
      <c r="D1544" s="1"/>
      <c r="E1544" s="1"/>
      <c r="F1544" s="1"/>
      <c r="G1544" s="1"/>
      <c r="H1544" s="3"/>
      <c r="K1544" s="1"/>
      <c r="L1544" s="1"/>
      <c r="M1544" s="1"/>
      <c r="N1544" s="1"/>
      <c r="O1544" s="1"/>
      <c r="P1544" s="1"/>
      <c r="Q1544" s="3"/>
    </row>
    <row r="1545" spans="1:18" x14ac:dyDescent="0.25">
      <c r="B1545" s="1"/>
      <c r="C1545" s="1"/>
      <c r="D1545" s="1"/>
      <c r="E1545" s="1"/>
      <c r="F1545" s="1"/>
      <c r="G1545" s="1"/>
      <c r="H1545" s="3"/>
      <c r="I1545" s="1"/>
      <c r="J1545" s="1"/>
      <c r="K1545" s="1"/>
      <c r="L1545" s="1"/>
      <c r="M1545" s="1"/>
      <c r="N1545" s="1"/>
      <c r="O1545" s="1"/>
      <c r="P1545" s="1"/>
      <c r="Q1545" s="3"/>
    </row>
    <row r="1546" spans="1:18" x14ac:dyDescent="0.25">
      <c r="B1546" s="1"/>
      <c r="C1546" s="1"/>
      <c r="D1546" s="1"/>
      <c r="E1546" s="1"/>
      <c r="F1546" s="1"/>
      <c r="G1546" s="1"/>
      <c r="H1546" s="3"/>
      <c r="I1546" s="1"/>
      <c r="J1546" s="1"/>
      <c r="K1546" s="1"/>
      <c r="L1546" s="1"/>
      <c r="M1546" s="1"/>
      <c r="N1546" s="1"/>
      <c r="O1546" s="1"/>
      <c r="P1546" s="1"/>
      <c r="Q1546" s="3"/>
    </row>
    <row r="1547" spans="1:18" x14ac:dyDescent="0.25">
      <c r="B1547" s="1"/>
      <c r="C1547" s="1"/>
      <c r="D1547" s="1"/>
      <c r="E1547" s="1"/>
      <c r="F1547" s="1"/>
      <c r="G1547" s="1"/>
      <c r="H1547" s="3"/>
      <c r="K1547" s="1"/>
      <c r="L1547" s="1"/>
      <c r="M1547" s="1"/>
      <c r="N1547" s="1"/>
      <c r="O1547" s="1"/>
      <c r="P1547" s="1"/>
      <c r="Q1547" s="3"/>
    </row>
    <row r="1548" spans="1:18" x14ac:dyDescent="0.25">
      <c r="B1548" s="1"/>
      <c r="C1548" s="1"/>
      <c r="D1548" s="1"/>
      <c r="E1548" s="1"/>
      <c r="F1548" s="1"/>
      <c r="G1548" s="1"/>
      <c r="H1548" s="3"/>
      <c r="K1548" s="1"/>
      <c r="L1548" s="1"/>
      <c r="M1548" s="1"/>
      <c r="N1548" s="1"/>
      <c r="O1548" s="1"/>
      <c r="P1548" s="1"/>
      <c r="Q1548" s="3"/>
    </row>
    <row r="1549" spans="1:18" x14ac:dyDescent="0.25">
      <c r="B1549" s="1"/>
      <c r="C1549" s="1"/>
      <c r="D1549" s="1"/>
      <c r="E1549" s="1"/>
      <c r="F1549" s="1"/>
      <c r="G1549" s="1"/>
      <c r="H1549" s="3"/>
      <c r="K1549" s="1"/>
      <c r="L1549" s="1"/>
      <c r="M1549" s="1"/>
      <c r="N1549" s="1"/>
      <c r="O1549" s="1"/>
      <c r="P1549" s="1"/>
      <c r="Q1549" s="3"/>
    </row>
    <row r="1550" spans="1:18" x14ac:dyDescent="0.25">
      <c r="B1550" s="1"/>
      <c r="C1550" s="1"/>
      <c r="D1550" s="1"/>
      <c r="E1550" s="1"/>
      <c r="F1550" s="1"/>
      <c r="G1550" s="1"/>
      <c r="H1550" s="3"/>
      <c r="K1550" s="1"/>
      <c r="L1550" s="1"/>
      <c r="M1550" s="1"/>
      <c r="N1550" s="1"/>
      <c r="O1550" s="1"/>
      <c r="P1550" s="1"/>
      <c r="Q1550" s="3"/>
    </row>
    <row r="1551" spans="1:18" x14ac:dyDescent="0.25">
      <c r="B1551" s="1"/>
      <c r="C1551" s="1"/>
      <c r="D1551" s="1"/>
      <c r="E1551" s="1"/>
      <c r="F1551" s="1"/>
      <c r="G1551" s="1"/>
      <c r="H1551" s="3"/>
      <c r="I1551" s="1"/>
      <c r="J1551" s="1"/>
      <c r="K1551" s="1"/>
      <c r="L1551" s="1"/>
      <c r="M1551" s="1"/>
      <c r="N1551" s="1"/>
      <c r="O1551" s="1"/>
      <c r="P1551" s="1"/>
      <c r="Q1551" s="3"/>
    </row>
    <row r="1552" spans="1:18" x14ac:dyDescent="0.25">
      <c r="B1552" s="1"/>
      <c r="C1552" s="1"/>
      <c r="D1552" s="1"/>
      <c r="E1552" s="1"/>
      <c r="F1552" s="1"/>
      <c r="G1552" s="1"/>
      <c r="H1552" s="3"/>
      <c r="I1552" s="1"/>
      <c r="J1552" s="1"/>
      <c r="K1552" s="1"/>
      <c r="L1552" s="1"/>
      <c r="M1552" s="1"/>
      <c r="N1552" s="1"/>
      <c r="O1552" s="1"/>
      <c r="P1552" s="1"/>
      <c r="Q1552" s="3"/>
      <c r="R1552" s="1"/>
    </row>
    <row r="1553" spans="1:18" x14ac:dyDescent="0.25">
      <c r="B1553" s="1"/>
      <c r="C1553" s="1"/>
      <c r="D1553" s="1"/>
      <c r="E1553" s="1"/>
      <c r="F1553" s="1"/>
      <c r="G1553" s="1"/>
      <c r="H1553" s="3"/>
      <c r="K1553" s="1"/>
      <c r="L1553" s="1"/>
      <c r="M1553" s="1"/>
      <c r="N1553" s="1"/>
      <c r="O1553" s="1"/>
      <c r="P1553" s="1"/>
      <c r="Q1553" s="3"/>
    </row>
    <row r="1554" spans="1:18" x14ac:dyDescent="0.25">
      <c r="B1554" s="1"/>
      <c r="C1554" s="1"/>
      <c r="D1554" s="1"/>
      <c r="E1554" s="1"/>
      <c r="F1554" s="1"/>
      <c r="G1554" s="1"/>
      <c r="H1554" s="3"/>
      <c r="K1554" s="1"/>
      <c r="L1554" s="1"/>
      <c r="M1554" s="1"/>
      <c r="N1554" s="1"/>
      <c r="O1554" s="1"/>
      <c r="P1554" s="1"/>
      <c r="Q1554" s="3"/>
    </row>
    <row r="1555" spans="1:18" x14ac:dyDescent="0.25">
      <c r="B1555" s="1"/>
      <c r="C1555" s="1"/>
      <c r="D1555" s="1"/>
      <c r="E1555" s="1"/>
      <c r="F1555" s="1"/>
      <c r="G1555" s="1"/>
      <c r="H1555" s="3"/>
      <c r="K1555" s="1"/>
      <c r="L1555" s="1"/>
      <c r="M1555" s="1"/>
      <c r="N1555" s="1"/>
      <c r="O1555" s="1"/>
      <c r="P1555" s="1"/>
      <c r="Q1555" s="3"/>
    </row>
    <row r="1556" spans="1:18" x14ac:dyDescent="0.25">
      <c r="B1556" s="1"/>
      <c r="C1556" s="1"/>
      <c r="D1556" s="1"/>
      <c r="E1556" s="1"/>
      <c r="F1556" s="1"/>
      <c r="G1556" s="1"/>
      <c r="H1556" s="3"/>
      <c r="K1556" s="1"/>
      <c r="L1556" s="1"/>
      <c r="M1556" s="1"/>
      <c r="N1556" s="1"/>
      <c r="O1556" s="1"/>
      <c r="P1556" s="1"/>
      <c r="Q1556" s="3"/>
    </row>
    <row r="1557" spans="1:18" x14ac:dyDescent="0.25">
      <c r="B1557" s="1"/>
      <c r="C1557" s="1"/>
      <c r="D1557" s="1"/>
      <c r="E1557" s="1"/>
      <c r="F1557" s="1"/>
      <c r="G1557" s="1"/>
      <c r="H1557" s="3"/>
      <c r="K1557" s="1"/>
      <c r="L1557" s="1"/>
      <c r="M1557" s="1"/>
      <c r="N1557" s="1"/>
      <c r="O1557" s="1"/>
      <c r="P1557" s="1"/>
      <c r="Q1557" s="3"/>
    </row>
    <row r="1558" spans="1:18" x14ac:dyDescent="0.25">
      <c r="B1558" s="1"/>
      <c r="C1558" s="1"/>
      <c r="D1558" s="1"/>
      <c r="E1558" s="1"/>
      <c r="F1558" s="1"/>
      <c r="G1558" s="1"/>
      <c r="H1558" s="3"/>
      <c r="K1558" s="1"/>
      <c r="L1558" s="1"/>
      <c r="M1558" s="1"/>
      <c r="N1558" s="1"/>
      <c r="O1558" s="1"/>
      <c r="P1558" s="1"/>
      <c r="Q1558" s="3"/>
    </row>
    <row r="1559" spans="1:18" x14ac:dyDescent="0.25">
      <c r="B1559" s="1"/>
      <c r="C1559" s="1"/>
      <c r="D1559" s="1"/>
      <c r="E1559" s="1"/>
      <c r="F1559" s="1"/>
      <c r="G1559" s="1"/>
      <c r="H1559" s="3"/>
      <c r="I1559" s="1"/>
      <c r="J1559" s="1"/>
      <c r="K1559" s="1"/>
      <c r="L1559" s="1"/>
      <c r="M1559" s="1"/>
      <c r="N1559" s="1"/>
      <c r="O1559" s="1"/>
      <c r="P1559" s="1"/>
      <c r="Q1559" s="3"/>
    </row>
    <row r="1560" spans="1:18" x14ac:dyDescent="0.25">
      <c r="B1560" s="1"/>
      <c r="C1560" s="1"/>
      <c r="D1560" s="1"/>
      <c r="E1560" s="1"/>
      <c r="F1560" s="1"/>
      <c r="G1560" s="1"/>
      <c r="H1560" s="3"/>
      <c r="I1560" s="1"/>
      <c r="J1560" s="1"/>
      <c r="K1560" s="1"/>
      <c r="L1560" s="1"/>
      <c r="M1560" s="1"/>
      <c r="N1560" s="1"/>
      <c r="O1560" s="1"/>
      <c r="P1560" s="1"/>
      <c r="Q1560" s="3"/>
    </row>
    <row r="1561" spans="1:18" x14ac:dyDescent="0.25">
      <c r="B1561" s="1"/>
      <c r="C1561" s="1"/>
      <c r="D1561" s="1"/>
      <c r="E1561" s="1"/>
      <c r="F1561" s="1"/>
      <c r="G1561" s="1"/>
      <c r="H1561" s="3"/>
      <c r="K1561" s="1"/>
      <c r="L1561" s="1"/>
      <c r="M1561" s="1"/>
      <c r="N1561" s="1"/>
      <c r="O1561" s="1"/>
      <c r="P1561" s="1"/>
      <c r="Q1561" s="3"/>
    </row>
    <row r="1562" spans="1:18" x14ac:dyDescent="0.25">
      <c r="B1562" s="1"/>
      <c r="C1562" s="1"/>
      <c r="D1562" s="1"/>
      <c r="E1562" s="1"/>
      <c r="F1562" s="1"/>
      <c r="G1562" s="1"/>
      <c r="H1562" s="3"/>
      <c r="K1562" s="1"/>
      <c r="L1562" s="1"/>
      <c r="M1562" s="1"/>
      <c r="N1562" s="1"/>
      <c r="O1562" s="1"/>
      <c r="P1562" s="1"/>
      <c r="Q1562" s="3"/>
    </row>
    <row r="1563" spans="1:18" x14ac:dyDescent="0.25">
      <c r="B1563" s="1"/>
      <c r="C1563" s="1"/>
      <c r="D1563" s="1"/>
      <c r="E1563" s="1"/>
      <c r="F1563" s="1"/>
      <c r="G1563" s="1"/>
      <c r="H1563" s="3"/>
      <c r="K1563" s="1"/>
      <c r="L1563" s="1"/>
      <c r="M1563" s="1"/>
      <c r="N1563" s="1"/>
      <c r="O1563" s="1"/>
      <c r="P1563" s="1"/>
      <c r="Q1563" s="3"/>
    </row>
    <row r="1564" spans="1:18" x14ac:dyDescent="0.25">
      <c r="B1564" s="1"/>
      <c r="C1564" s="1"/>
      <c r="D1564" s="1"/>
      <c r="E1564" s="1"/>
      <c r="F1564" s="1"/>
      <c r="G1564" s="1"/>
      <c r="H1564" s="3"/>
      <c r="K1564" s="1"/>
      <c r="L1564" s="1"/>
      <c r="M1564" s="1"/>
      <c r="N1564" s="1"/>
      <c r="O1564" s="1"/>
      <c r="P1564" s="1"/>
      <c r="Q1564" s="3"/>
    </row>
    <row r="1565" spans="1:18" x14ac:dyDescent="0.25">
      <c r="B1565" s="1"/>
      <c r="C1565" s="1"/>
      <c r="D1565" s="1"/>
      <c r="E1565" s="1"/>
      <c r="F1565" s="1"/>
      <c r="G1565" s="1"/>
      <c r="H1565" s="3"/>
      <c r="K1565" s="1"/>
      <c r="L1565" s="1"/>
      <c r="M1565" s="1"/>
      <c r="N1565" s="1"/>
      <c r="O1565" s="1"/>
      <c r="P1565" s="1"/>
      <c r="Q1565" s="3"/>
    </row>
    <row r="1566" spans="1:18" x14ac:dyDescent="0.25">
      <c r="B1566" s="1"/>
      <c r="C1566" s="1"/>
      <c r="D1566" s="1"/>
      <c r="E1566" s="1"/>
      <c r="F1566" s="1"/>
      <c r="G1566" s="1"/>
      <c r="H1566" s="3"/>
      <c r="K1566" s="1"/>
      <c r="L1566" s="1"/>
      <c r="M1566" s="1"/>
      <c r="N1566" s="1"/>
      <c r="O1566" s="1"/>
      <c r="P1566" s="1"/>
      <c r="Q1566" s="3"/>
    </row>
    <row r="1567" spans="1:18" x14ac:dyDescent="0.25">
      <c r="B1567" s="1"/>
      <c r="C1567" s="1"/>
      <c r="D1567" s="1"/>
      <c r="E1567" s="1"/>
      <c r="F1567" s="1"/>
      <c r="G1567" s="1"/>
      <c r="H1567" s="3"/>
      <c r="I1567" s="1"/>
      <c r="J1567" s="1"/>
      <c r="K1567" s="1"/>
      <c r="L1567" s="1"/>
      <c r="M1567" s="1"/>
      <c r="N1567" s="1"/>
      <c r="O1567" s="1"/>
      <c r="P1567" s="1"/>
      <c r="Q1567" s="3"/>
      <c r="R1567" s="1"/>
    </row>
    <row r="1568" spans="1:18" x14ac:dyDescent="0.25">
      <c r="A1568" s="7"/>
      <c r="B1568" s="1"/>
      <c r="C1568" s="1"/>
      <c r="D1568" s="1"/>
      <c r="E1568" s="1"/>
      <c r="F1568" s="1"/>
      <c r="G1568" s="1"/>
      <c r="H1568" s="3"/>
      <c r="K1568" s="10"/>
      <c r="L1568" s="10"/>
      <c r="M1568" s="10"/>
      <c r="N1568" s="10"/>
      <c r="O1568" s="10"/>
      <c r="P1568" s="1"/>
      <c r="Q1568" s="3"/>
    </row>
    <row r="1569" spans="1:18" x14ac:dyDescent="0.25">
      <c r="B1569" s="1"/>
      <c r="C1569" s="1"/>
      <c r="D1569" s="1"/>
      <c r="E1569" s="1"/>
      <c r="F1569" s="1"/>
      <c r="G1569" s="1"/>
      <c r="H1569" s="3"/>
      <c r="I1569" s="1"/>
      <c r="J1569" s="1"/>
      <c r="K1569" s="1"/>
      <c r="L1569" s="1"/>
      <c r="M1569" s="1"/>
      <c r="N1569" s="1"/>
      <c r="O1569" s="1"/>
      <c r="P1569" s="1"/>
      <c r="Q1569" s="3"/>
    </row>
    <row r="1570" spans="1:18" x14ac:dyDescent="0.25">
      <c r="B1570" s="1"/>
      <c r="C1570" s="1"/>
      <c r="D1570" s="1"/>
      <c r="E1570" s="1"/>
      <c r="F1570" s="1"/>
      <c r="G1570" s="1"/>
      <c r="H1570" s="3"/>
      <c r="K1570" s="1"/>
      <c r="L1570" s="1"/>
      <c r="M1570" s="1"/>
      <c r="N1570" s="1"/>
      <c r="O1570" s="1"/>
      <c r="P1570" s="1"/>
      <c r="Q1570" s="3"/>
    </row>
    <row r="1571" spans="1:18" x14ac:dyDescent="0.25">
      <c r="B1571" s="1"/>
      <c r="C1571" s="1"/>
      <c r="D1571" s="1"/>
      <c r="E1571" s="1"/>
      <c r="F1571" s="1"/>
      <c r="G1571" s="1"/>
      <c r="H1571" s="3"/>
      <c r="K1571" s="1"/>
      <c r="L1571" s="1"/>
      <c r="M1571" s="1"/>
      <c r="N1571" s="1"/>
      <c r="O1571" s="1"/>
      <c r="P1571" s="1"/>
      <c r="Q1571" s="3"/>
    </row>
    <row r="1572" spans="1:18" x14ac:dyDescent="0.25">
      <c r="B1572" s="1"/>
      <c r="C1572" s="1"/>
      <c r="D1572" s="1"/>
      <c r="E1572" s="1"/>
      <c r="F1572" s="1"/>
      <c r="G1572" s="1"/>
      <c r="H1572" s="3"/>
      <c r="I1572" s="1"/>
      <c r="J1572" s="1"/>
      <c r="K1572" s="1"/>
      <c r="L1572" s="1"/>
      <c r="M1572" s="1"/>
      <c r="N1572" s="1"/>
      <c r="O1572" s="1"/>
      <c r="P1572" s="1"/>
      <c r="Q1572" s="3"/>
    </row>
    <row r="1573" spans="1:18" x14ac:dyDescent="0.25">
      <c r="B1573" s="1"/>
      <c r="C1573" s="1"/>
      <c r="D1573" s="1"/>
      <c r="E1573" s="1"/>
      <c r="F1573" s="1"/>
      <c r="G1573" s="1"/>
      <c r="H1573" s="3"/>
      <c r="K1573" s="1"/>
      <c r="L1573" s="1"/>
      <c r="M1573" s="1"/>
      <c r="N1573" s="1"/>
      <c r="O1573" s="1"/>
      <c r="P1573" s="1"/>
      <c r="Q1573" s="3"/>
    </row>
    <row r="1574" spans="1:18" x14ac:dyDescent="0.25">
      <c r="B1574" s="1"/>
      <c r="C1574" s="1"/>
      <c r="D1574" s="1"/>
      <c r="E1574" s="1"/>
      <c r="F1574" s="1"/>
      <c r="G1574" s="1"/>
      <c r="H1574" s="3"/>
      <c r="K1574" s="1"/>
      <c r="L1574" s="1"/>
      <c r="M1574" s="1"/>
      <c r="N1574" s="1"/>
      <c r="O1574" s="1"/>
      <c r="P1574" s="1"/>
      <c r="Q1574" s="3"/>
    </row>
    <row r="1575" spans="1:18" x14ac:dyDescent="0.25">
      <c r="B1575" s="1"/>
      <c r="C1575" s="1"/>
      <c r="D1575" s="1"/>
      <c r="E1575" s="1"/>
      <c r="F1575" s="1"/>
      <c r="G1575" s="1"/>
      <c r="H1575" s="3"/>
      <c r="K1575" s="1"/>
      <c r="L1575" s="1"/>
      <c r="M1575" s="1"/>
      <c r="N1575" s="1"/>
      <c r="O1575" s="1"/>
      <c r="P1575" s="1"/>
      <c r="Q1575" s="3"/>
    </row>
    <row r="1576" spans="1:18" x14ac:dyDescent="0.25">
      <c r="A1576" s="7"/>
      <c r="B1576" s="1"/>
      <c r="C1576" s="1"/>
      <c r="D1576" s="1"/>
      <c r="E1576" s="1"/>
      <c r="F1576" s="1"/>
      <c r="G1576" s="1"/>
      <c r="H1576" s="3"/>
      <c r="K1576" s="10"/>
      <c r="L1576" s="10"/>
      <c r="M1576" s="10"/>
      <c r="N1576" s="10"/>
      <c r="O1576" s="10"/>
      <c r="P1576" s="1"/>
      <c r="Q1576" s="3"/>
    </row>
    <row r="1577" spans="1:18" x14ac:dyDescent="0.25">
      <c r="B1577" s="1"/>
      <c r="C1577" s="1"/>
      <c r="D1577" s="1"/>
      <c r="E1577" s="1"/>
      <c r="F1577" s="1"/>
      <c r="G1577" s="1"/>
      <c r="H1577" s="3"/>
      <c r="K1577" s="1"/>
      <c r="L1577" s="1"/>
      <c r="M1577" s="1"/>
      <c r="N1577" s="1"/>
      <c r="O1577" s="1"/>
      <c r="P1577" s="1"/>
      <c r="Q1577" s="3"/>
    </row>
    <row r="1578" spans="1:18" x14ac:dyDescent="0.25">
      <c r="B1578" s="1"/>
      <c r="C1578" s="1"/>
      <c r="D1578" s="1"/>
      <c r="E1578" s="1"/>
      <c r="F1578" s="1"/>
      <c r="G1578" s="1"/>
      <c r="H1578" s="3"/>
      <c r="I1578" s="1"/>
      <c r="J1578" s="1"/>
      <c r="K1578" s="1"/>
      <c r="L1578" s="1"/>
      <c r="M1578" s="1"/>
      <c r="N1578" s="1"/>
      <c r="O1578" s="1"/>
      <c r="P1578" s="1"/>
      <c r="Q1578" s="3"/>
    </row>
    <row r="1579" spans="1:18" x14ac:dyDescent="0.25">
      <c r="B1579" s="1"/>
      <c r="C1579" s="1"/>
      <c r="D1579" s="1"/>
      <c r="E1579" s="1"/>
      <c r="F1579" s="1"/>
      <c r="G1579" s="1"/>
      <c r="H1579" s="3"/>
      <c r="I1579" s="1"/>
      <c r="J1579" s="1"/>
      <c r="K1579" s="1"/>
      <c r="L1579" s="1"/>
      <c r="M1579" s="1"/>
      <c r="N1579" s="1"/>
      <c r="O1579" s="1"/>
      <c r="P1579" s="1"/>
      <c r="Q1579" s="3"/>
    </row>
    <row r="1580" spans="1:18" x14ac:dyDescent="0.25">
      <c r="B1580" s="1"/>
      <c r="C1580" s="1"/>
      <c r="D1580" s="1"/>
      <c r="E1580" s="1"/>
      <c r="F1580" s="1"/>
      <c r="G1580" s="1"/>
      <c r="H1580" s="3"/>
      <c r="I1580" s="1"/>
      <c r="J1580" s="1"/>
      <c r="K1580" s="1"/>
      <c r="L1580" s="1"/>
      <c r="M1580" s="1"/>
      <c r="N1580" s="1"/>
      <c r="O1580" s="1"/>
      <c r="P1580" s="1"/>
      <c r="Q1580" s="3"/>
    </row>
    <row r="1581" spans="1:18" x14ac:dyDescent="0.25">
      <c r="B1581" s="1"/>
      <c r="C1581" s="1"/>
      <c r="D1581" s="1"/>
      <c r="E1581" s="1"/>
      <c r="F1581" s="1"/>
      <c r="G1581" s="1"/>
      <c r="H1581" s="3"/>
      <c r="K1581" s="1"/>
      <c r="L1581" s="1"/>
      <c r="M1581" s="1"/>
      <c r="N1581" s="1"/>
      <c r="O1581" s="1"/>
      <c r="P1581" s="1"/>
      <c r="Q1581" s="3"/>
    </row>
    <row r="1582" spans="1:18" x14ac:dyDescent="0.25">
      <c r="B1582" s="1"/>
      <c r="C1582" s="1"/>
      <c r="D1582" s="1"/>
      <c r="E1582" s="1"/>
      <c r="F1582" s="1"/>
      <c r="G1582" s="1"/>
      <c r="H1582" s="3"/>
      <c r="I1582" s="1"/>
      <c r="J1582" s="1"/>
      <c r="K1582" s="1"/>
      <c r="L1582" s="1"/>
      <c r="M1582" s="1"/>
      <c r="N1582" s="1"/>
      <c r="O1582" s="1"/>
      <c r="P1582" s="1"/>
      <c r="Q1582" s="3"/>
    </row>
    <row r="1583" spans="1:18" x14ac:dyDescent="0.25">
      <c r="B1583" s="1"/>
      <c r="C1583" s="1"/>
      <c r="D1583" s="1"/>
      <c r="E1583" s="1"/>
      <c r="F1583" s="1"/>
      <c r="G1583" s="1"/>
      <c r="H1583" s="3"/>
      <c r="I1583" s="1"/>
      <c r="J1583" s="1"/>
      <c r="K1583" s="1"/>
      <c r="L1583" s="1"/>
      <c r="M1583" s="1"/>
      <c r="N1583" s="1"/>
      <c r="O1583" s="1"/>
      <c r="P1583" s="1"/>
      <c r="Q1583" s="3"/>
      <c r="R1583" s="1"/>
    </row>
    <row r="1584" spans="1:18" x14ac:dyDescent="0.25">
      <c r="B1584" s="1"/>
      <c r="C1584" s="1"/>
      <c r="D1584" s="1"/>
      <c r="E1584" s="1"/>
      <c r="F1584" s="1"/>
      <c r="G1584" s="1"/>
      <c r="H1584" s="3"/>
      <c r="K1584" s="1"/>
      <c r="L1584" s="1"/>
      <c r="M1584" s="1"/>
      <c r="N1584" s="1"/>
      <c r="O1584" s="1"/>
      <c r="P1584" s="1"/>
      <c r="Q1584" s="3"/>
    </row>
    <row r="1585" spans="2:18" x14ac:dyDescent="0.25">
      <c r="B1585" s="1"/>
      <c r="C1585" s="1"/>
      <c r="D1585" s="1"/>
      <c r="E1585" s="1"/>
      <c r="F1585" s="1"/>
      <c r="G1585" s="1"/>
      <c r="H1585" s="3"/>
      <c r="K1585" s="1"/>
      <c r="L1585" s="1"/>
      <c r="M1585" s="1"/>
      <c r="N1585" s="1"/>
      <c r="O1585" s="1"/>
      <c r="P1585" s="1"/>
      <c r="Q1585" s="3"/>
    </row>
    <row r="1586" spans="2:18" x14ac:dyDescent="0.25">
      <c r="B1586" s="1"/>
      <c r="C1586" s="1"/>
      <c r="D1586" s="1"/>
      <c r="E1586" s="1"/>
      <c r="F1586" s="1"/>
      <c r="G1586" s="1"/>
      <c r="H1586" s="3"/>
      <c r="I1586" s="1"/>
      <c r="J1586" s="1"/>
      <c r="K1586" s="1"/>
      <c r="L1586" s="1"/>
      <c r="M1586" s="1"/>
      <c r="N1586" s="1"/>
      <c r="O1586" s="1"/>
      <c r="P1586" s="1"/>
      <c r="Q1586" s="3"/>
    </row>
    <row r="1587" spans="2:18" x14ac:dyDescent="0.25">
      <c r="B1587" s="1"/>
      <c r="C1587" s="1"/>
      <c r="D1587" s="1"/>
      <c r="E1587" s="1"/>
      <c r="F1587" s="1"/>
      <c r="G1587" s="1"/>
      <c r="H1587" s="3"/>
      <c r="K1587" s="1"/>
      <c r="L1587" s="1"/>
      <c r="M1587" s="1"/>
      <c r="N1587" s="1"/>
      <c r="O1587" s="1"/>
      <c r="P1587" s="1"/>
      <c r="Q1587" s="3"/>
    </row>
    <row r="1588" spans="2:18" x14ac:dyDescent="0.25">
      <c r="B1588" s="1"/>
      <c r="C1588" s="1"/>
      <c r="D1588" s="1"/>
      <c r="E1588" s="1"/>
      <c r="F1588" s="1"/>
      <c r="G1588" s="1"/>
      <c r="H1588" s="3"/>
      <c r="I1588" s="1"/>
      <c r="J1588" s="1"/>
      <c r="K1588" s="1"/>
      <c r="L1588" s="1"/>
      <c r="M1588" s="1"/>
      <c r="N1588" s="1"/>
      <c r="O1588" s="1"/>
      <c r="P1588" s="1"/>
      <c r="Q1588" s="3"/>
    </row>
    <row r="1589" spans="2:18" x14ac:dyDescent="0.25">
      <c r="B1589" s="1"/>
      <c r="C1589" s="1"/>
      <c r="D1589" s="1"/>
      <c r="E1589" s="1"/>
      <c r="F1589" s="1"/>
      <c r="G1589" s="1"/>
      <c r="H1589" s="3"/>
      <c r="K1589" s="1"/>
      <c r="L1589" s="1"/>
      <c r="M1589" s="1"/>
      <c r="N1589" s="1"/>
      <c r="O1589" s="1"/>
      <c r="P1589" s="1"/>
      <c r="Q1589" s="3"/>
    </row>
    <row r="1590" spans="2:18" x14ac:dyDescent="0.25">
      <c r="B1590" s="1"/>
      <c r="C1590" s="1"/>
      <c r="D1590" s="1"/>
      <c r="E1590" s="1"/>
      <c r="F1590" s="1"/>
      <c r="G1590" s="1"/>
      <c r="H1590" s="3"/>
      <c r="K1590" s="1"/>
      <c r="L1590" s="1"/>
      <c r="M1590" s="1"/>
      <c r="N1590" s="1"/>
      <c r="O1590" s="1"/>
      <c r="P1590" s="1"/>
      <c r="Q1590" s="3"/>
    </row>
    <row r="1591" spans="2:18" x14ac:dyDescent="0.25">
      <c r="B1591" s="1"/>
      <c r="C1591" s="1"/>
      <c r="D1591" s="1"/>
      <c r="E1591" s="1"/>
      <c r="F1591" s="1"/>
      <c r="G1591" s="1"/>
      <c r="H1591" s="3"/>
      <c r="K1591" s="1"/>
      <c r="L1591" s="1"/>
      <c r="M1591" s="1"/>
      <c r="N1591" s="1"/>
      <c r="O1591" s="1"/>
      <c r="P1591" s="1"/>
      <c r="Q1591" s="3"/>
    </row>
    <row r="1592" spans="2:18" x14ac:dyDescent="0.25">
      <c r="B1592" s="1"/>
      <c r="C1592" s="1"/>
      <c r="D1592" s="1"/>
      <c r="E1592" s="1"/>
      <c r="F1592" s="1"/>
      <c r="G1592" s="1"/>
      <c r="H1592" s="3"/>
      <c r="I1592" s="1"/>
      <c r="J1592" s="1"/>
      <c r="K1592" s="1"/>
      <c r="L1592" s="1"/>
      <c r="M1592" s="1"/>
      <c r="N1592" s="1"/>
      <c r="O1592" s="1"/>
      <c r="P1592" s="1"/>
      <c r="Q1592" s="3"/>
      <c r="R1592" s="1"/>
    </row>
    <row r="1593" spans="2:18" x14ac:dyDescent="0.25">
      <c r="B1593" s="1"/>
      <c r="C1593" s="1"/>
      <c r="D1593" s="1"/>
      <c r="E1593" s="1"/>
      <c r="F1593" s="1"/>
      <c r="G1593" s="1"/>
      <c r="H1593" s="3"/>
      <c r="K1593" s="1"/>
      <c r="L1593" s="1"/>
      <c r="M1593" s="1"/>
      <c r="N1593" s="1"/>
      <c r="O1593" s="1"/>
      <c r="P1593" s="1"/>
      <c r="Q1593" s="3"/>
    </row>
    <row r="1594" spans="2:18" x14ac:dyDescent="0.25">
      <c r="B1594" s="1"/>
      <c r="C1594" s="1"/>
      <c r="D1594" s="1"/>
      <c r="E1594" s="1"/>
      <c r="F1594" s="1"/>
      <c r="G1594" s="1"/>
      <c r="H1594" s="3"/>
      <c r="K1594" s="1"/>
      <c r="L1594" s="1"/>
      <c r="M1594" s="1"/>
      <c r="N1594" s="1"/>
      <c r="O1594" s="1"/>
      <c r="P1594" s="1"/>
      <c r="Q1594" s="3"/>
    </row>
    <row r="1595" spans="2:18" x14ac:dyDescent="0.25">
      <c r="B1595" s="1"/>
      <c r="C1595" s="1"/>
      <c r="D1595" s="1"/>
      <c r="E1595" s="1"/>
      <c r="F1595" s="1"/>
      <c r="G1595" s="8"/>
      <c r="H1595" s="9"/>
      <c r="K1595" s="1"/>
      <c r="L1595" s="1"/>
      <c r="M1595" s="1"/>
      <c r="N1595" s="1"/>
      <c r="O1595" s="1"/>
      <c r="P1595" s="1"/>
      <c r="Q1595" s="3"/>
    </row>
    <row r="1596" spans="2:18" x14ac:dyDescent="0.25">
      <c r="B1596" s="1"/>
      <c r="C1596" s="1"/>
      <c r="D1596" s="1"/>
      <c r="E1596" s="1"/>
      <c r="F1596" s="1"/>
      <c r="G1596" s="1"/>
      <c r="H1596" s="3"/>
      <c r="I1596" s="1"/>
      <c r="J1596" s="1"/>
      <c r="K1596" s="1"/>
      <c r="L1596" s="1"/>
      <c r="M1596" s="1"/>
      <c r="N1596" s="1"/>
      <c r="O1596" s="1"/>
      <c r="P1596" s="1"/>
      <c r="Q1596" s="3"/>
      <c r="R1596" s="1"/>
    </row>
    <row r="1597" spans="2:18" x14ac:dyDescent="0.25">
      <c r="B1597" s="1"/>
      <c r="C1597" s="1"/>
      <c r="D1597" s="1"/>
      <c r="E1597" s="1"/>
      <c r="F1597" s="1"/>
      <c r="G1597" s="1"/>
      <c r="H1597" s="3"/>
      <c r="I1597" s="1"/>
      <c r="J1597" s="1"/>
      <c r="K1597" s="1"/>
      <c r="L1597" s="1"/>
      <c r="M1597" s="1"/>
      <c r="N1597" s="1"/>
      <c r="O1597" s="1"/>
      <c r="P1597" s="1"/>
      <c r="Q1597" s="3"/>
    </row>
    <row r="1598" spans="2:18" x14ac:dyDescent="0.25">
      <c r="B1598" s="1"/>
      <c r="C1598" s="1"/>
      <c r="D1598" s="1"/>
      <c r="E1598" s="1"/>
      <c r="F1598" s="1"/>
      <c r="G1598" s="1"/>
      <c r="H1598" s="3"/>
      <c r="K1598" s="1"/>
      <c r="L1598" s="1"/>
      <c r="M1598" s="1"/>
      <c r="N1598" s="1"/>
      <c r="O1598" s="1"/>
      <c r="P1598" s="1"/>
      <c r="Q1598" s="3"/>
    </row>
    <row r="1599" spans="2:18" x14ac:dyDescent="0.25">
      <c r="B1599" s="1"/>
      <c r="C1599" s="1"/>
      <c r="D1599" s="1"/>
      <c r="E1599" s="1"/>
      <c r="F1599" s="1"/>
      <c r="G1599" s="1"/>
      <c r="H1599" s="3"/>
      <c r="K1599" s="1"/>
      <c r="L1599" s="1"/>
      <c r="M1599" s="1"/>
      <c r="N1599" s="1"/>
      <c r="O1599" s="1"/>
      <c r="P1599" s="1"/>
      <c r="Q1599" s="3"/>
    </row>
    <row r="1600" spans="2:18" x14ac:dyDescent="0.25">
      <c r="B1600" s="1"/>
      <c r="C1600" s="1"/>
      <c r="D1600" s="1"/>
      <c r="E1600" s="1"/>
      <c r="F1600" s="1"/>
      <c r="G1600" s="1"/>
      <c r="H1600" s="3"/>
      <c r="I1600" s="1"/>
      <c r="J1600" s="1"/>
      <c r="K1600" s="1"/>
      <c r="L1600" s="1"/>
      <c r="M1600" s="1"/>
      <c r="N1600" s="1"/>
      <c r="O1600" s="1"/>
      <c r="P1600" s="1"/>
      <c r="Q1600" s="3"/>
    </row>
    <row r="1601" spans="2:17" x14ac:dyDescent="0.25">
      <c r="B1601" s="1"/>
      <c r="C1601" s="1"/>
      <c r="D1601" s="1"/>
      <c r="E1601" s="1"/>
      <c r="F1601" s="1"/>
      <c r="G1601" s="1"/>
      <c r="H1601" s="3"/>
      <c r="K1601" s="1"/>
      <c r="L1601" s="1"/>
      <c r="M1601" s="1"/>
      <c r="N1601" s="1"/>
      <c r="O1601" s="1"/>
      <c r="P1601" s="1"/>
      <c r="Q1601" s="3"/>
    </row>
    <row r="1602" spans="2:17" x14ac:dyDescent="0.25">
      <c r="B1602" s="1"/>
      <c r="C1602" s="1"/>
      <c r="D1602" s="1"/>
      <c r="E1602" s="1"/>
      <c r="F1602" s="1"/>
      <c r="G1602" s="1"/>
      <c r="H1602" s="3"/>
      <c r="K1602" s="1"/>
      <c r="L1602" s="1"/>
      <c r="M1602" s="1"/>
      <c r="N1602" s="1"/>
      <c r="O1602" s="1"/>
      <c r="P1602" s="1"/>
      <c r="Q1602" s="3"/>
    </row>
    <row r="1603" spans="2:17" x14ac:dyDescent="0.25">
      <c r="B1603" s="1"/>
      <c r="C1603" s="1"/>
      <c r="D1603" s="1"/>
      <c r="E1603" s="1"/>
      <c r="F1603" s="1"/>
      <c r="G1603" s="1"/>
      <c r="H1603" s="3"/>
      <c r="K1603" s="1"/>
      <c r="L1603" s="1"/>
      <c r="M1603" s="1"/>
      <c r="N1603" s="1"/>
      <c r="O1603" s="1"/>
      <c r="P1603" s="1"/>
      <c r="Q1603" s="3"/>
    </row>
    <row r="1604" spans="2:17" x14ac:dyDescent="0.25">
      <c r="B1604" s="1"/>
      <c r="C1604" s="1"/>
      <c r="D1604" s="1"/>
      <c r="E1604" s="1"/>
      <c r="F1604" s="1"/>
      <c r="G1604" s="1"/>
      <c r="H1604" s="3"/>
      <c r="K1604" s="1"/>
      <c r="L1604" s="1"/>
      <c r="M1604" s="1"/>
      <c r="N1604" s="1"/>
      <c r="O1604" s="1"/>
      <c r="P1604" s="1"/>
      <c r="Q1604" s="3"/>
    </row>
    <row r="1605" spans="2:17" x14ac:dyDescent="0.25">
      <c r="B1605" s="1"/>
      <c r="C1605" s="1"/>
      <c r="D1605" s="1"/>
      <c r="E1605" s="1"/>
      <c r="F1605" s="1"/>
      <c r="G1605" s="1"/>
      <c r="H1605" s="3"/>
      <c r="I1605" s="1"/>
      <c r="J1605" s="1"/>
      <c r="K1605" s="1"/>
      <c r="L1605" s="1"/>
      <c r="M1605" s="1"/>
      <c r="N1605" s="1"/>
      <c r="O1605" s="1"/>
      <c r="P1605" s="1"/>
      <c r="Q1605" s="3"/>
    </row>
    <row r="1606" spans="2:17" x14ac:dyDescent="0.25">
      <c r="F1606" s="1"/>
    </row>
    <row r="1607" spans="2:17" x14ac:dyDescent="0.25">
      <c r="F1607" s="1"/>
    </row>
    <row r="1608" spans="2:17" x14ac:dyDescent="0.25">
      <c r="F1608" s="1"/>
    </row>
    <row r="1609" spans="2:17" x14ac:dyDescent="0.25">
      <c r="F1609" s="1"/>
    </row>
    <row r="1610" spans="2:17" x14ac:dyDescent="0.25">
      <c r="F1610" s="1"/>
    </row>
    <row r="1611" spans="2:17" x14ac:dyDescent="0.25">
      <c r="F1611" s="1"/>
    </row>
    <row r="1612" spans="2:17" x14ac:dyDescent="0.25">
      <c r="F1612" s="1"/>
    </row>
    <row r="1613" spans="2:17" x14ac:dyDescent="0.25">
      <c r="F1613" s="1"/>
    </row>
    <row r="1614" spans="2:17" x14ac:dyDescent="0.25">
      <c r="F1614" s="1"/>
    </row>
    <row r="1615" spans="2:17" x14ac:dyDescent="0.25">
      <c r="F1615" s="1"/>
    </row>
    <row r="1616" spans="2:17" x14ac:dyDescent="0.25">
      <c r="F1616" s="1"/>
    </row>
    <row r="1617" spans="6:6" x14ac:dyDescent="0.25">
      <c r="F1617" s="1"/>
    </row>
    <row r="1618" spans="6:6" x14ac:dyDescent="0.25">
      <c r="F1618" s="1"/>
    </row>
    <row r="1619" spans="6:6" x14ac:dyDescent="0.25">
      <c r="F1619" s="1"/>
    </row>
    <row r="1620" spans="6:6" x14ac:dyDescent="0.25">
      <c r="F1620" s="1"/>
    </row>
    <row r="1621" spans="6:6" x14ac:dyDescent="0.25">
      <c r="F1621" s="1"/>
    </row>
    <row r="1622" spans="6:6" x14ac:dyDescent="0.25">
      <c r="F1622" s="1"/>
    </row>
    <row r="1623" spans="6:6" x14ac:dyDescent="0.25">
      <c r="F1623" s="1"/>
    </row>
    <row r="1624" spans="6:6" x14ac:dyDescent="0.25">
      <c r="F1624" s="1"/>
    </row>
    <row r="1625" spans="6:6" x14ac:dyDescent="0.25">
      <c r="F1625" s="1"/>
    </row>
    <row r="1626" spans="6:6" x14ac:dyDescent="0.25">
      <c r="F1626" s="1"/>
    </row>
    <row r="1627" spans="6:6" x14ac:dyDescent="0.25">
      <c r="F1627" s="1"/>
    </row>
    <row r="1628" spans="6:6" x14ac:dyDescent="0.25">
      <c r="F1628" s="1"/>
    </row>
    <row r="1629" spans="6:6" x14ac:dyDescent="0.25">
      <c r="F1629" s="1"/>
    </row>
    <row r="1630" spans="6:6" x14ac:dyDescent="0.25">
      <c r="F1630" s="1"/>
    </row>
    <row r="1631" spans="6:6" x14ac:dyDescent="0.25">
      <c r="F1631" s="1"/>
    </row>
    <row r="1632" spans="6:6" x14ac:dyDescent="0.25">
      <c r="F1632" s="1"/>
    </row>
    <row r="1633" spans="6:6" x14ac:dyDescent="0.25">
      <c r="F1633" s="1"/>
    </row>
    <row r="1634" spans="6:6" x14ac:dyDescent="0.25">
      <c r="F1634" s="1"/>
    </row>
    <row r="1635" spans="6:6" x14ac:dyDescent="0.25">
      <c r="F1635" s="1"/>
    </row>
    <row r="1636" spans="6:6" x14ac:dyDescent="0.25">
      <c r="F1636" s="1"/>
    </row>
    <row r="1637" spans="6:6" x14ac:dyDescent="0.25">
      <c r="F1637" s="1"/>
    </row>
    <row r="1638" spans="6:6" x14ac:dyDescent="0.25">
      <c r="F1638" s="1"/>
    </row>
    <row r="1639" spans="6:6" x14ac:dyDescent="0.25">
      <c r="F1639" s="1"/>
    </row>
    <row r="1640" spans="6:6" x14ac:dyDescent="0.25">
      <c r="F1640" s="1"/>
    </row>
    <row r="1641" spans="6:6" x14ac:dyDescent="0.25">
      <c r="F1641" s="1"/>
    </row>
    <row r="1642" spans="6:6" x14ac:dyDescent="0.25">
      <c r="F1642" s="1"/>
    </row>
    <row r="1643" spans="6:6" x14ac:dyDescent="0.25">
      <c r="F1643" s="1"/>
    </row>
    <row r="1644" spans="6:6" x14ac:dyDescent="0.25">
      <c r="F1644" s="1"/>
    </row>
    <row r="1645" spans="6:6" x14ac:dyDescent="0.25">
      <c r="F1645" s="1"/>
    </row>
    <row r="1646" spans="6:6" x14ac:dyDescent="0.25">
      <c r="F1646" s="1"/>
    </row>
    <row r="1647" spans="6:6" x14ac:dyDescent="0.25">
      <c r="F1647" s="1"/>
    </row>
    <row r="1648" spans="6:6" x14ac:dyDescent="0.25">
      <c r="F1648" s="1"/>
    </row>
    <row r="1649" spans="6:6" x14ac:dyDescent="0.25">
      <c r="F1649" s="1"/>
    </row>
    <row r="1650" spans="6:6" x14ac:dyDescent="0.25">
      <c r="F1650" s="1"/>
    </row>
    <row r="1651" spans="6:6" x14ac:dyDescent="0.25">
      <c r="F1651" s="1"/>
    </row>
    <row r="1652" spans="6:6" x14ac:dyDescent="0.25">
      <c r="F1652" s="1"/>
    </row>
    <row r="1653" spans="6:6" x14ac:dyDescent="0.25">
      <c r="F1653" s="1"/>
    </row>
    <row r="1654" spans="6:6" x14ac:dyDescent="0.25">
      <c r="F1654" s="1"/>
    </row>
    <row r="1655" spans="6:6" x14ac:dyDescent="0.25">
      <c r="F1655" s="1"/>
    </row>
    <row r="1656" spans="6:6" x14ac:dyDescent="0.25">
      <c r="F1656" s="1"/>
    </row>
    <row r="1657" spans="6:6" x14ac:dyDescent="0.25">
      <c r="F1657" s="1"/>
    </row>
    <row r="1658" spans="6:6" x14ac:dyDescent="0.25">
      <c r="F1658" s="1"/>
    </row>
    <row r="1659" spans="6:6" x14ac:dyDescent="0.25">
      <c r="F1659" s="1"/>
    </row>
    <row r="1660" spans="6:6" x14ac:dyDescent="0.25">
      <c r="F1660" s="1"/>
    </row>
    <row r="1661" spans="6:6" x14ac:dyDescent="0.25">
      <c r="F1661" s="1"/>
    </row>
    <row r="1662" spans="6:6" x14ac:dyDescent="0.25">
      <c r="F1662" s="1"/>
    </row>
    <row r="1663" spans="6:6" x14ac:dyDescent="0.25">
      <c r="F1663" s="1"/>
    </row>
    <row r="1664" spans="6:6" x14ac:dyDescent="0.25">
      <c r="F1664" s="1"/>
    </row>
    <row r="1665" spans="6:6" x14ac:dyDescent="0.25">
      <c r="F1665" s="1"/>
    </row>
    <row r="1666" spans="6:6" x14ac:dyDescent="0.25">
      <c r="F1666" s="1"/>
    </row>
    <row r="1667" spans="6:6" x14ac:dyDescent="0.25">
      <c r="F1667" s="1"/>
    </row>
    <row r="1668" spans="6:6" x14ac:dyDescent="0.25">
      <c r="F1668" s="1"/>
    </row>
    <row r="1669" spans="6:6" x14ac:dyDescent="0.25">
      <c r="F1669" s="1"/>
    </row>
    <row r="1670" spans="6:6" x14ac:dyDescent="0.25">
      <c r="F1670" s="1"/>
    </row>
    <row r="1671" spans="6:6" x14ac:dyDescent="0.25">
      <c r="F1671" s="1"/>
    </row>
    <row r="1672" spans="6:6" x14ac:dyDescent="0.25">
      <c r="F1672" s="1"/>
    </row>
    <row r="1673" spans="6:6" x14ac:dyDescent="0.25">
      <c r="F1673" s="1"/>
    </row>
    <row r="1674" spans="6:6" x14ac:dyDescent="0.25">
      <c r="F1674" s="1"/>
    </row>
    <row r="1675" spans="6:6" x14ac:dyDescent="0.25">
      <c r="F1675" s="1"/>
    </row>
    <row r="1676" spans="6:6" x14ac:dyDescent="0.25">
      <c r="F1676" s="1"/>
    </row>
    <row r="1677" spans="6:6" x14ac:dyDescent="0.25">
      <c r="F1677" s="1"/>
    </row>
    <row r="1678" spans="6:6" x14ac:dyDescent="0.25">
      <c r="F1678" s="1"/>
    </row>
    <row r="1679" spans="6:6" x14ac:dyDescent="0.25">
      <c r="F1679" s="1"/>
    </row>
    <row r="1680" spans="6:6" x14ac:dyDescent="0.25">
      <c r="F1680" s="1"/>
    </row>
    <row r="1681" spans="6:6" x14ac:dyDescent="0.25">
      <c r="F1681" s="1"/>
    </row>
    <row r="1682" spans="6:6" x14ac:dyDescent="0.25">
      <c r="F1682" s="1"/>
    </row>
    <row r="1683" spans="6:6" x14ac:dyDescent="0.25">
      <c r="F1683" s="1"/>
    </row>
    <row r="1684" spans="6:6" x14ac:dyDescent="0.25">
      <c r="F1684" s="1"/>
    </row>
    <row r="1685" spans="6:6" x14ac:dyDescent="0.25">
      <c r="F1685" s="1"/>
    </row>
    <row r="1686" spans="6:6" x14ac:dyDescent="0.25">
      <c r="F1686" s="1"/>
    </row>
    <row r="1687" spans="6:6" x14ac:dyDescent="0.25">
      <c r="F1687" s="1"/>
    </row>
    <row r="1688" spans="6:6" x14ac:dyDescent="0.25">
      <c r="F1688" s="1"/>
    </row>
    <row r="1689" spans="6:6" x14ac:dyDescent="0.25">
      <c r="F1689" s="1"/>
    </row>
    <row r="1690" spans="6:6" x14ac:dyDescent="0.25">
      <c r="F1690" s="1"/>
    </row>
    <row r="1691" spans="6:6" x14ac:dyDescent="0.25">
      <c r="F1691" s="1"/>
    </row>
    <row r="1692" spans="6:6" x14ac:dyDescent="0.25">
      <c r="F1692" s="1"/>
    </row>
    <row r="1693" spans="6:6" x14ac:dyDescent="0.25">
      <c r="F1693" s="1"/>
    </row>
    <row r="1694" spans="6:6" x14ac:dyDescent="0.25">
      <c r="F1694" s="1"/>
    </row>
    <row r="1695" spans="6:6" x14ac:dyDescent="0.25">
      <c r="F1695" s="1"/>
    </row>
    <row r="1696" spans="6:6" x14ac:dyDescent="0.25">
      <c r="F1696" s="1"/>
    </row>
    <row r="1697" spans="6:6" x14ac:dyDescent="0.25">
      <c r="F1697" s="1"/>
    </row>
    <row r="1698" spans="6:6" x14ac:dyDescent="0.25">
      <c r="F1698" s="1"/>
    </row>
    <row r="1699" spans="6:6" x14ac:dyDescent="0.25">
      <c r="F1699" s="1"/>
    </row>
    <row r="1700" spans="6:6" x14ac:dyDescent="0.25">
      <c r="F1700" s="1"/>
    </row>
    <row r="1701" spans="6:6" x14ac:dyDescent="0.25">
      <c r="F1701" s="1"/>
    </row>
    <row r="1702" spans="6:6" x14ac:dyDescent="0.25">
      <c r="F1702" s="1"/>
    </row>
    <row r="1703" spans="6:6" x14ac:dyDescent="0.25">
      <c r="F1703" s="1"/>
    </row>
    <row r="1704" spans="6:6" x14ac:dyDescent="0.25">
      <c r="F1704" s="1"/>
    </row>
    <row r="1705" spans="6:6" x14ac:dyDescent="0.25">
      <c r="F1705" s="1"/>
    </row>
    <row r="1706" spans="6:6" x14ac:dyDescent="0.25">
      <c r="F1706" s="1"/>
    </row>
    <row r="1707" spans="6:6" x14ac:dyDescent="0.25">
      <c r="F1707" s="1"/>
    </row>
    <row r="1708" spans="6:6" x14ac:dyDescent="0.25">
      <c r="F1708" s="1"/>
    </row>
    <row r="1709" spans="6:6" x14ac:dyDescent="0.25">
      <c r="F1709" s="1"/>
    </row>
    <row r="1710" spans="6:6" x14ac:dyDescent="0.25">
      <c r="F1710" s="1"/>
    </row>
    <row r="1711" spans="6:6" x14ac:dyDescent="0.25">
      <c r="F1711" s="1"/>
    </row>
    <row r="1712" spans="6:6" x14ac:dyDescent="0.25">
      <c r="F1712" s="1"/>
    </row>
    <row r="1713" spans="6:6" x14ac:dyDescent="0.25">
      <c r="F1713" s="1"/>
    </row>
    <row r="1714" spans="6:6" x14ac:dyDescent="0.25">
      <c r="F1714" s="1"/>
    </row>
    <row r="1715" spans="6:6" x14ac:dyDescent="0.25">
      <c r="F1715" s="1"/>
    </row>
    <row r="1716" spans="6:6" x14ac:dyDescent="0.25">
      <c r="F1716" s="1"/>
    </row>
    <row r="1717" spans="6:6" x14ac:dyDescent="0.25">
      <c r="F1717" s="1"/>
    </row>
    <row r="1718" spans="6:6" x14ac:dyDescent="0.25">
      <c r="F1718" s="1"/>
    </row>
    <row r="1719" spans="6:6" x14ac:dyDescent="0.25">
      <c r="F1719" s="1"/>
    </row>
    <row r="1720" spans="6:6" x14ac:dyDescent="0.25">
      <c r="F1720" s="1"/>
    </row>
    <row r="1721" spans="6:6" x14ac:dyDescent="0.25">
      <c r="F1721" s="1"/>
    </row>
    <row r="1722" spans="6:6" x14ac:dyDescent="0.25">
      <c r="F1722" s="1"/>
    </row>
    <row r="1723" spans="6:6" x14ac:dyDescent="0.25">
      <c r="F1723" s="1"/>
    </row>
    <row r="1724" spans="6:6" x14ac:dyDescent="0.25">
      <c r="F1724" s="1"/>
    </row>
    <row r="1725" spans="6:6" x14ac:dyDescent="0.25">
      <c r="F1725" s="1"/>
    </row>
    <row r="1726" spans="6:6" x14ac:dyDescent="0.25">
      <c r="F1726" s="1"/>
    </row>
    <row r="1727" spans="6:6" x14ac:dyDescent="0.25">
      <c r="F1727" s="1"/>
    </row>
    <row r="1728" spans="6:6" x14ac:dyDescent="0.25">
      <c r="F1728" s="1"/>
    </row>
    <row r="1729" spans="6:6" x14ac:dyDescent="0.25">
      <c r="F1729" s="1"/>
    </row>
    <row r="1730" spans="6:6" x14ac:dyDescent="0.25">
      <c r="F1730" s="1"/>
    </row>
    <row r="1731" spans="6:6" x14ac:dyDescent="0.25">
      <c r="F1731" s="1"/>
    </row>
    <row r="1732" spans="6:6" x14ac:dyDescent="0.25">
      <c r="F1732" s="1"/>
    </row>
    <row r="1733" spans="6:6" x14ac:dyDescent="0.25">
      <c r="F1733" s="1"/>
    </row>
    <row r="1734" spans="6:6" x14ac:dyDescent="0.25">
      <c r="F1734" s="1"/>
    </row>
    <row r="1735" spans="6:6" x14ac:dyDescent="0.25">
      <c r="F1735" s="1"/>
    </row>
    <row r="1736" spans="6:6" x14ac:dyDescent="0.25">
      <c r="F1736" s="1"/>
    </row>
    <row r="1737" spans="6:6" x14ac:dyDescent="0.25">
      <c r="F1737" s="1"/>
    </row>
    <row r="1738" spans="6:6" x14ac:dyDescent="0.25">
      <c r="F1738" s="1"/>
    </row>
    <row r="1739" spans="6:6" x14ac:dyDescent="0.25">
      <c r="F1739" s="1"/>
    </row>
    <row r="1740" spans="6:6" x14ac:dyDescent="0.25">
      <c r="F1740" s="1"/>
    </row>
    <row r="1741" spans="6:6" x14ac:dyDescent="0.25">
      <c r="F1741" s="1"/>
    </row>
    <row r="1742" spans="6:6" x14ac:dyDescent="0.25">
      <c r="F1742" s="1"/>
    </row>
    <row r="1743" spans="6:6" x14ac:dyDescent="0.25">
      <c r="F1743" s="1"/>
    </row>
    <row r="1744" spans="6:6" x14ac:dyDescent="0.25">
      <c r="F1744" s="1"/>
    </row>
    <row r="1745" spans="6:6" x14ac:dyDescent="0.25">
      <c r="F1745" s="1"/>
    </row>
    <row r="1746" spans="6:6" x14ac:dyDescent="0.25">
      <c r="F1746" s="1"/>
    </row>
    <row r="1747" spans="6:6" x14ac:dyDescent="0.25">
      <c r="F1747" s="1"/>
    </row>
    <row r="1748" spans="6:6" x14ac:dyDescent="0.25">
      <c r="F1748" s="1"/>
    </row>
    <row r="1749" spans="6:6" x14ac:dyDescent="0.25">
      <c r="F1749" s="1"/>
    </row>
    <row r="1750" spans="6:6" x14ac:dyDescent="0.25">
      <c r="F1750" s="1"/>
    </row>
    <row r="1751" spans="6:6" x14ac:dyDescent="0.25">
      <c r="F1751" s="1"/>
    </row>
    <row r="1752" spans="6:6" x14ac:dyDescent="0.25">
      <c r="F1752" s="1"/>
    </row>
    <row r="1753" spans="6:6" x14ac:dyDescent="0.25">
      <c r="F1753" s="1"/>
    </row>
    <row r="1754" spans="6:6" x14ac:dyDescent="0.25">
      <c r="F1754" s="1"/>
    </row>
    <row r="1755" spans="6:6" x14ac:dyDescent="0.25">
      <c r="F1755" s="1"/>
    </row>
    <row r="1756" spans="6:6" x14ac:dyDescent="0.25">
      <c r="F1756" s="1"/>
    </row>
    <row r="1757" spans="6:6" x14ac:dyDescent="0.25">
      <c r="F1757" s="1"/>
    </row>
    <row r="1758" spans="6:6" x14ac:dyDescent="0.25">
      <c r="F1758" s="1"/>
    </row>
    <row r="1759" spans="6:6" x14ac:dyDescent="0.25">
      <c r="F1759" s="1"/>
    </row>
    <row r="1760" spans="6:6" x14ac:dyDescent="0.25">
      <c r="F1760" s="1"/>
    </row>
    <row r="1761" spans="6:6" x14ac:dyDescent="0.25">
      <c r="F1761" s="1"/>
    </row>
    <row r="1762" spans="6:6" x14ac:dyDescent="0.25">
      <c r="F1762" s="1"/>
    </row>
    <row r="1763" spans="6:6" x14ac:dyDescent="0.25">
      <c r="F1763" s="1"/>
    </row>
    <row r="1764" spans="6:6" x14ac:dyDescent="0.25">
      <c r="F1764" s="1"/>
    </row>
    <row r="1765" spans="6:6" x14ac:dyDescent="0.25">
      <c r="F1765" s="1"/>
    </row>
    <row r="1766" spans="6:6" x14ac:dyDescent="0.25">
      <c r="F1766" s="1"/>
    </row>
    <row r="1767" spans="6:6" x14ac:dyDescent="0.25">
      <c r="F1767" s="1"/>
    </row>
    <row r="1768" spans="6:6" x14ac:dyDescent="0.25">
      <c r="F1768" s="1"/>
    </row>
    <row r="1769" spans="6:6" x14ac:dyDescent="0.25">
      <c r="F1769" s="1"/>
    </row>
    <row r="1770" spans="6:6" x14ac:dyDescent="0.25">
      <c r="F1770" s="1"/>
    </row>
    <row r="1771" spans="6:6" x14ac:dyDescent="0.25">
      <c r="F1771" s="1"/>
    </row>
    <row r="1772" spans="6:6" x14ac:dyDescent="0.25">
      <c r="F1772" s="1"/>
    </row>
    <row r="1773" spans="6:6" x14ac:dyDescent="0.25">
      <c r="F1773" s="1"/>
    </row>
    <row r="1774" spans="6:6" x14ac:dyDescent="0.25">
      <c r="F1774" s="1"/>
    </row>
    <row r="1775" spans="6:6" x14ac:dyDescent="0.25">
      <c r="F1775" s="1"/>
    </row>
    <row r="1776" spans="6:6" x14ac:dyDescent="0.25">
      <c r="F1776" s="1"/>
    </row>
    <row r="1777" spans="6:6" x14ac:dyDescent="0.25">
      <c r="F1777" s="1"/>
    </row>
    <row r="1778" spans="6:6" x14ac:dyDescent="0.25">
      <c r="F1778" s="1"/>
    </row>
    <row r="1779" spans="6:6" x14ac:dyDescent="0.25">
      <c r="F1779" s="1"/>
    </row>
    <row r="1780" spans="6:6" x14ac:dyDescent="0.25">
      <c r="F1780" s="1"/>
    </row>
    <row r="1781" spans="6:6" x14ac:dyDescent="0.25">
      <c r="F1781" s="1"/>
    </row>
    <row r="1782" spans="6:6" x14ac:dyDescent="0.25">
      <c r="F1782" s="1"/>
    </row>
    <row r="1783" spans="6:6" x14ac:dyDescent="0.25">
      <c r="F1783" s="1"/>
    </row>
    <row r="1784" spans="6:6" x14ac:dyDescent="0.25">
      <c r="F1784" s="1"/>
    </row>
    <row r="1785" spans="6:6" x14ac:dyDescent="0.25">
      <c r="F1785" s="1"/>
    </row>
    <row r="1786" spans="6:6" x14ac:dyDescent="0.25">
      <c r="F1786" s="1"/>
    </row>
    <row r="1787" spans="6:6" x14ac:dyDescent="0.25">
      <c r="F1787" s="1"/>
    </row>
    <row r="1788" spans="6:6" x14ac:dyDescent="0.25">
      <c r="F1788" s="1"/>
    </row>
    <row r="1789" spans="6:6" x14ac:dyDescent="0.25">
      <c r="F1789" s="1"/>
    </row>
    <row r="1790" spans="6:6" x14ac:dyDescent="0.25">
      <c r="F1790" s="1"/>
    </row>
    <row r="1791" spans="6:6" x14ac:dyDescent="0.25">
      <c r="F1791" s="1"/>
    </row>
  </sheetData>
  <autoFilter ref="A2:R2" xr:uid="{956C6DF4-6E93-4A1F-BE5F-5B8420B2F39B}">
    <sortState xmlns:xlrd2="http://schemas.microsoft.com/office/spreadsheetml/2017/richdata2" ref="A3:R1791">
      <sortCondition ref="G2"/>
    </sortState>
  </autoFilter>
  <mergeCells count="2">
    <mergeCell ref="B1:I1"/>
    <mergeCell ref="K1:R1"/>
  </mergeCells>
  <conditionalFormatting sqref="F3:F502">
    <cfRule type="cellIs" dxfId="2" priority="1" operator="greaterThan">
      <formula>4500000</formula>
    </cfRule>
    <cfRule type="cellIs" dxfId="1" priority="2" operator="between">
      <formula>1500000</formula>
      <formula>4500000</formula>
    </cfRule>
    <cfRule type="cellIs" dxfId="0" priority="3" operator="lessThan">
      <formula>1500000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16EEB03FF9C49AA03212E4426183B" ma:contentTypeVersion="3" ma:contentTypeDescription="Create a new document." ma:contentTypeScope="" ma:versionID="18ca421816a197671c8acf094544c381">
  <xsd:schema xmlns:xsd="http://www.w3.org/2001/XMLSchema" xmlns:xs="http://www.w3.org/2001/XMLSchema" xmlns:p="http://schemas.microsoft.com/office/2006/metadata/properties" xmlns:ns2="55064b79-2b23-4e42-b98c-063858cd2941" targetNamespace="http://schemas.microsoft.com/office/2006/metadata/properties" ma:root="true" ma:fieldsID="19d9dbc8d7e3e3d4222ce78b0be16331" ns2:_="">
    <xsd:import namespace="55064b79-2b23-4e42-b98c-063858cd2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64b79-2b23-4e42-b98c-063858cd2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F9ED96-D2B6-4269-A854-AE6724CCD9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64b79-2b23-4e42-b98c-063858cd2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1BEDA-4E60-422C-8528-017041BEF715}">
  <ds:schemaRefs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55064b79-2b23-4e42-b98c-063858cd294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4EE349-7BAB-4AF1-8F5B-AD531DE0DE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Scotland samples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 Dalum</dc:creator>
  <cp:keywords/>
  <dc:description/>
  <cp:lastModifiedBy>Sae-Lim, Panya</cp:lastModifiedBy>
  <cp:revision/>
  <dcterms:created xsi:type="dcterms:W3CDTF">2022-10-13T08:40:15Z</dcterms:created>
  <dcterms:modified xsi:type="dcterms:W3CDTF">2023-02-02T08:01:50Z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0x0101001C316EEB03FF9C49AA03212E4426183B</vt:lpwstr>
  </property>
</Properties>
</file>